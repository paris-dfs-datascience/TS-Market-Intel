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All Grants" sheetId="2" state="visible" r:id="rId2"/>
    <sheet name="Top 25 by Award" sheetId="3" state="visible" r:id="rId3"/>
  </sheets>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Arial"/>
      <b val="1"/>
      <color rgb="FFFFFFFF"/>
      <sz val="14"/>
    </font>
    <font>
      <name val="Arial"/>
      <i val="1"/>
      <color rgb="FF555555"/>
      <sz val="9"/>
    </font>
    <font>
      <name val="Arial"/>
      <b val="1"/>
      <color rgb="FFFFFFFF"/>
      <sz val="10"/>
    </font>
    <font>
      <name val="Arial"/>
      <b val="1"/>
      <color rgb="FF0D3349"/>
      <sz val="9"/>
    </font>
    <font>
      <name val="Arial"/>
      <sz val="9"/>
    </font>
    <font>
      <name val="Arial"/>
      <b val="1"/>
      <color rgb="FFFFFFFF"/>
      <sz val="9"/>
    </font>
  </fonts>
  <fills count="7">
    <fill>
      <patternFill/>
    </fill>
    <fill>
      <patternFill patternType="gray125"/>
    </fill>
    <fill>
      <patternFill patternType="solid">
        <fgColor rgb="FF0D3349"/>
      </patternFill>
    </fill>
    <fill>
      <patternFill patternType="solid">
        <fgColor rgb="FF1A5276"/>
      </patternFill>
    </fill>
    <fill>
      <patternFill patternType="solid">
        <fgColor rgb="FFD1ECF1"/>
      </patternFill>
    </fill>
    <fill>
      <patternFill patternType="solid">
        <fgColor rgb="FFFFFFFF"/>
      </patternFill>
    </fill>
    <fill>
      <patternFill patternType="solid">
        <fgColor rgb="FFF5F7FA"/>
      </patternFill>
    </fill>
  </fills>
  <borders count="2">
    <border>
      <left/>
      <right/>
      <top/>
      <bottom/>
      <diagonal/>
    </border>
    <border>
      <left style="thin">
        <color rgb="FFB0BEC5"/>
      </left>
      <right style="thin">
        <color rgb="FFB0BEC5"/>
      </right>
      <top style="thin">
        <color rgb="FFB0BEC5"/>
      </top>
      <bottom style="thin">
        <color rgb="FFB0BEC5"/>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left" vertical="center" indent="1"/>
    </xf>
    <xf numFmtId="0" fontId="4" fillId="4" borderId="1" applyAlignment="1" pivotButton="0" quotePrefix="0" xfId="0">
      <alignment horizontal="center"/>
    </xf>
    <xf numFmtId="0" fontId="5" fillId="5" borderId="1" applyAlignment="1" pivotButton="0" quotePrefix="0" xfId="0">
      <alignment horizontal="center"/>
    </xf>
    <xf numFmtId="164" fontId="5" fillId="5" borderId="1" applyAlignment="1" pivotButton="0" quotePrefix="0" xfId="0">
      <alignment horizontal="center"/>
    </xf>
    <xf numFmtId="0" fontId="5" fillId="6" borderId="1" applyAlignment="1" pivotButton="0" quotePrefix="0" xfId="0">
      <alignment horizontal="center"/>
    </xf>
    <xf numFmtId="164" fontId="5" fillId="6" borderId="1" applyAlignment="1" pivotButton="0" quotePrefix="0" xfId="0">
      <alignment horizontal="center"/>
    </xf>
    <xf numFmtId="0" fontId="6" fillId="2" borderId="1" applyAlignment="1" pivotButton="0" quotePrefix="0" xfId="0">
      <alignment horizontal="center"/>
    </xf>
    <xf numFmtId="164" fontId="6" fillId="2" borderId="1" applyAlignment="1" pivotButton="0" quotePrefix="0" xfId="0">
      <alignment horizontal="center"/>
    </xf>
    <xf numFmtId="0" fontId="5" fillId="5" borderId="1" applyAlignment="1" pivotButton="0" quotePrefix="0" xfId="0">
      <alignment horizontal="left"/>
    </xf>
    <xf numFmtId="0" fontId="5" fillId="6" borderId="1" applyAlignment="1" pivotButton="0" quotePrefix="0" xfId="0">
      <alignment horizontal="left"/>
    </xf>
    <xf numFmtId="0" fontId="5" fillId="5" borderId="1" applyAlignment="1" pivotButton="0" quotePrefix="0" xfId="0">
      <alignment horizontal="center"/>
    </xf>
    <xf numFmtId="0" fontId="5" fillId="5" borderId="1" applyAlignment="1" pivotButton="0" quotePrefix="0" xfId="0">
      <alignment horizontal="left"/>
    </xf>
    <xf numFmtId="164" fontId="5" fillId="5" borderId="1" applyAlignment="1" pivotButton="0" quotePrefix="0" xfId="0">
      <alignment horizontal="center"/>
    </xf>
    <xf numFmtId="0" fontId="5" fillId="5" borderId="1" applyAlignment="1" pivotButton="0" quotePrefix="0" xfId="0">
      <alignment horizontal="left" wrapText="1"/>
    </xf>
    <xf numFmtId="0" fontId="5" fillId="6" borderId="1" applyAlignment="1" pivotButton="0" quotePrefix="0" xfId="0">
      <alignment horizontal="center"/>
    </xf>
    <xf numFmtId="0" fontId="5" fillId="6" borderId="1" applyAlignment="1" pivotButton="0" quotePrefix="0" xfId="0">
      <alignment horizontal="left"/>
    </xf>
    <xf numFmtId="164" fontId="5" fillId="6" borderId="1" applyAlignment="1" pivotButton="0" quotePrefix="0" xfId="0">
      <alignment horizontal="center"/>
    </xf>
    <xf numFmtId="0" fontId="5" fillId="6" borderId="1" applyAlignment="1" pivotButton="0" quotePrefix="0" xfId="0">
      <alignment horizontal="left" wrapText="1"/>
    </xf>
    <xf numFmtId="0" fontId="3" fillId="2" borderId="1" applyAlignment="1" pivotButton="0" quotePrefix="0" xfId="0">
      <alignment horizontal="center" vertical="center" wrapText="1"/>
    </xf>
    <xf numFmtId="0" fontId="5" fillId="5" borderId="1" applyAlignment="1" pivotButton="0" quotePrefix="0" xfId="0">
      <alignment vertical="top"/>
    </xf>
    <xf numFmtId="0" fontId="5" fillId="5" borderId="1" applyAlignment="1" pivotButton="0" quotePrefix="0" xfId="0">
      <alignment vertical="top" wrapText="1"/>
    </xf>
    <xf numFmtId="164" fontId="5" fillId="5" borderId="1" applyAlignment="1" pivotButton="0" quotePrefix="0" xfId="0">
      <alignment vertical="top"/>
    </xf>
    <xf numFmtId="0" fontId="5" fillId="6" borderId="1" applyAlignment="1" pivotButton="0" quotePrefix="0" xfId="0">
      <alignment vertical="top"/>
    </xf>
    <xf numFmtId="0" fontId="5" fillId="6" borderId="1" applyAlignment="1" pivotButton="0" quotePrefix="0" xfId="0">
      <alignment vertical="top" wrapText="1"/>
    </xf>
    <xf numFmtId="164" fontId="5" fillId="6" borderId="1" applyAlignment="1" pivotButton="0" quotePrefix="0" xfId="0">
      <alignment vertical="top"/>
    </xf>
    <xf numFmtId="0" fontId="5" fillId="5" borderId="1" applyAlignment="1" pivotButton="0" quotePrefix="0" xfId="0">
      <alignment horizontal="center" vertical="top"/>
    </xf>
    <xf numFmtId="0" fontId="5" fillId="5" borderId="1" applyAlignment="1" pivotButton="0" quotePrefix="0" xfId="0">
      <alignment horizontal="left" vertical="top"/>
    </xf>
    <xf numFmtId="164" fontId="5" fillId="5" borderId="1" applyAlignment="1" pivotButton="0" quotePrefix="0" xfId="0">
      <alignment horizontal="center" vertical="top"/>
    </xf>
    <xf numFmtId="0" fontId="5" fillId="5" borderId="1" applyAlignment="1" pivotButton="0" quotePrefix="0" xfId="0">
      <alignment horizontal="left" vertical="top" wrapText="1"/>
    </xf>
    <xf numFmtId="0" fontId="5" fillId="6" borderId="1" applyAlignment="1" pivotButton="0" quotePrefix="0" xfId="0">
      <alignment horizontal="center" vertical="top"/>
    </xf>
    <xf numFmtId="0" fontId="5" fillId="6" borderId="1" applyAlignment="1" pivotButton="0" quotePrefix="0" xfId="0">
      <alignment horizontal="left" vertical="top"/>
    </xf>
    <xf numFmtId="164" fontId="5" fillId="6" borderId="1" applyAlignment="1" pivotButton="0" quotePrefix="0" xfId="0">
      <alignment horizontal="center" vertical="top"/>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s>
  <sheetData>
    <row r="1" ht="35" customHeight="1">
      <c r="A1" s="1" t="inlineStr">
        <is>
          <t>Johns Hopkins University — NSF Grants Summary (2024–2026)</t>
        </is>
      </c>
    </row>
    <row r="2" ht="16" customHeight="1">
      <c r="A2" s="2" t="inlineStr">
        <is>
          <t>Source: NSF Awards API  |  Total Records: 147  |  api.nsf.gov/services/v1/awards</t>
        </is>
      </c>
    </row>
    <row r="4" ht="22" customHeight="1">
      <c r="A4" s="3" t="inlineStr">
        <is>
          <t>GRANTS BY AWARD YEAR</t>
        </is>
      </c>
    </row>
    <row r="5" ht="18" customHeight="1">
      <c r="A5" s="4" t="inlineStr">
        <is>
          <t>Award Year</t>
        </is>
      </c>
      <c r="B5" s="4" t="inlineStr">
        <is>
          <t>Grant Count</t>
        </is>
      </c>
      <c r="C5" s="4" t="inlineStr">
        <is>
          <t>Total Obligated ($)</t>
        </is>
      </c>
      <c r="D5" s="4" t="inlineStr">
        <is>
          <t>Avg Award ($)</t>
        </is>
      </c>
      <c r="E5" s="4" t="inlineStr">
        <is>
          <t>Max Award ($)</t>
        </is>
      </c>
      <c r="F5" s="4" t="inlineStr">
        <is>
          <t>Min Award ($)</t>
        </is>
      </c>
    </row>
    <row r="6" ht="16" customHeight="1">
      <c r="A6" s="5" t="inlineStr">
        <is>
          <t>2024</t>
        </is>
      </c>
      <c r="B6" s="5" t="n">
        <v>74</v>
      </c>
      <c r="C6" s="6" t="n">
        <v>32608461</v>
      </c>
      <c r="D6" s="6" t="n">
        <v>440655</v>
      </c>
      <c r="E6" s="6" t="n">
        <v>3000000</v>
      </c>
      <c r="F6" s="6" t="n">
        <v>19603</v>
      </c>
    </row>
    <row r="7" ht="16" customHeight="1">
      <c r="A7" s="7" t="inlineStr">
        <is>
          <t>2025</t>
        </is>
      </c>
      <c r="B7" s="7" t="n">
        <v>62</v>
      </c>
      <c r="C7" s="8" t="n">
        <v>31808288</v>
      </c>
      <c r="D7" s="8" t="n">
        <v>521447</v>
      </c>
      <c r="E7" s="8" t="n">
        <v>3540000</v>
      </c>
      <c r="F7" s="8" t="n">
        <v>10000</v>
      </c>
    </row>
    <row r="8" ht="16" customHeight="1">
      <c r="A8" s="5" t="inlineStr">
        <is>
          <t>2026</t>
        </is>
      </c>
      <c r="B8" s="5" t="n">
        <v>11</v>
      </c>
      <c r="C8" s="6" t="n">
        <v>2494754</v>
      </c>
      <c r="D8" s="6" t="n">
        <v>226796</v>
      </c>
      <c r="E8" s="6" t="n">
        <v>570001</v>
      </c>
      <c r="F8" s="6" t="n">
        <v>35719</v>
      </c>
    </row>
    <row r="9" ht="18" customHeight="1">
      <c r="A9" s="9" t="inlineStr">
        <is>
          <t>TOTAL</t>
        </is>
      </c>
      <c r="B9" s="9">
        <f>SUM(B6:B8)</f>
        <v/>
      </c>
      <c r="C9" s="10">
        <f>SUM(C6:C8)</f>
        <v/>
      </c>
      <c r="D9" s="9" t="inlineStr"/>
      <c r="E9" s="9" t="inlineStr"/>
      <c r="F9" s="9" t="inlineStr"/>
    </row>
    <row r="11" ht="22" customHeight="1">
      <c r="A11" s="3" t="inlineStr">
        <is>
          <t>BY TRANSACTION TYPE</t>
        </is>
      </c>
    </row>
    <row r="12" ht="18" customHeight="1">
      <c r="A12" s="4" t="inlineStr">
        <is>
          <t>Transaction Type</t>
        </is>
      </c>
      <c r="B12" s="4" t="inlineStr">
        <is>
          <t>Count</t>
        </is>
      </c>
      <c r="C12" s="4" t="inlineStr">
        <is>
          <t>Total Obligated ($)</t>
        </is>
      </c>
      <c r="D12" s="4" t="inlineStr">
        <is>
          <t>Avg Award ($)</t>
        </is>
      </c>
      <c r="E12" s="4" t="inlineStr"/>
      <c r="F12" s="4" t="inlineStr"/>
    </row>
    <row r="13" ht="16" customHeight="1">
      <c r="A13" s="11" t="inlineStr">
        <is>
          <t>Standard Grant</t>
        </is>
      </c>
      <c r="B13" s="5" t="n">
        <v>113</v>
      </c>
      <c r="C13" s="6" t="n">
        <v>50926767</v>
      </c>
      <c r="D13" s="6" t="n">
        <v>454703</v>
      </c>
      <c r="E13" s="5" t="inlineStr"/>
      <c r="F13" s="5" t="inlineStr"/>
    </row>
    <row r="14" ht="16" customHeight="1">
      <c r="A14" s="12" t="inlineStr">
        <is>
          <t>Continuing Grant</t>
        </is>
      </c>
      <c r="B14" s="7" t="n">
        <v>34</v>
      </c>
      <c r="C14" s="8" t="n">
        <v>15984736</v>
      </c>
      <c r="D14" s="8" t="n">
        <v>470139</v>
      </c>
      <c r="E14" s="7" t="inlineStr"/>
      <c r="F14" s="7" t="inlineStr"/>
    </row>
    <row r="16" ht="22" customHeight="1">
      <c r="A16" s="3" t="inlineStr">
        <is>
          <t>BY NSF DIRECTORATE</t>
        </is>
      </c>
    </row>
    <row r="17" ht="18" customHeight="1">
      <c r="A17" s="4" t="inlineStr">
        <is>
          <t>Directorate</t>
        </is>
      </c>
      <c r="B17" s="4" t="inlineStr">
        <is>
          <t>Division</t>
        </is>
      </c>
      <c r="C17" s="4" t="inlineStr">
        <is>
          <t>Count</t>
        </is>
      </c>
      <c r="D17" s="4" t="inlineStr">
        <is>
          <t>Total Obligated ($)</t>
        </is>
      </c>
      <c r="E17" s="4" t="inlineStr">
        <is>
          <t>Avg Award ($)</t>
        </is>
      </c>
      <c r="F17" s="4" t="inlineStr"/>
    </row>
    <row r="18" ht="16" customHeight="1">
      <c r="A18" s="5" t="inlineStr">
        <is>
          <t>BIO</t>
        </is>
      </c>
      <c r="B18" s="5" t="inlineStr">
        <is>
          <t>MCB</t>
        </is>
      </c>
      <c r="C18" s="5" t="n">
        <v>8</v>
      </c>
      <c r="D18" s="6" t="n">
        <v>6693787</v>
      </c>
      <c r="E18" s="6" t="n">
        <v>836723</v>
      </c>
      <c r="F18" s="5" t="inlineStr"/>
    </row>
    <row r="19" ht="16" customHeight="1">
      <c r="A19" s="7" t="inlineStr">
        <is>
          <t>ENG</t>
        </is>
      </c>
      <c r="B19" s="7" t="inlineStr">
        <is>
          <t>CBET</t>
        </is>
      </c>
      <c r="C19" s="7" t="n">
        <v>8</v>
      </c>
      <c r="D19" s="8" t="n">
        <v>6465540</v>
      </c>
      <c r="E19" s="8" t="n">
        <v>808192</v>
      </c>
      <c r="F19" s="7" t="inlineStr"/>
    </row>
    <row r="20" ht="16" customHeight="1">
      <c r="A20" s="5" t="inlineStr">
        <is>
          <t>ENG</t>
        </is>
      </c>
      <c r="B20" s="5" t="inlineStr">
        <is>
          <t>EFMA</t>
        </is>
      </c>
      <c r="C20" s="5" t="n">
        <v>3</v>
      </c>
      <c r="D20" s="6" t="n">
        <v>5054508</v>
      </c>
      <c r="E20" s="6" t="n">
        <v>1684836</v>
      </c>
      <c r="F20" s="5" t="inlineStr"/>
    </row>
    <row r="21" ht="16" customHeight="1">
      <c r="A21" s="7" t="inlineStr">
        <is>
          <t>GEO</t>
        </is>
      </c>
      <c r="B21" s="7" t="inlineStr">
        <is>
          <t>AGS</t>
        </is>
      </c>
      <c r="C21" s="7" t="n">
        <v>12</v>
      </c>
      <c r="D21" s="8" t="n">
        <v>4925610</v>
      </c>
      <c r="E21" s="8" t="n">
        <v>410468</v>
      </c>
      <c r="F21" s="7" t="inlineStr"/>
    </row>
    <row r="22" ht="16" customHeight="1">
      <c r="A22" s="5" t="inlineStr">
        <is>
          <t>MPS</t>
        </is>
      </c>
      <c r="B22" s="5" t="inlineStr">
        <is>
          <t>AST</t>
        </is>
      </c>
      <c r="C22" s="5" t="n">
        <v>7</v>
      </c>
      <c r="D22" s="6" t="n">
        <v>4654902</v>
      </c>
      <c r="E22" s="6" t="n">
        <v>664986</v>
      </c>
      <c r="F22" s="5" t="inlineStr"/>
    </row>
    <row r="23" ht="16" customHeight="1">
      <c r="A23" s="7" t="inlineStr">
        <is>
          <t>MPS</t>
        </is>
      </c>
      <c r="B23" s="7" t="inlineStr">
        <is>
          <t>CHE</t>
        </is>
      </c>
      <c r="C23" s="7" t="n">
        <v>9</v>
      </c>
      <c r="D23" s="8" t="n">
        <v>4553432</v>
      </c>
      <c r="E23" s="8" t="n">
        <v>505937</v>
      </c>
      <c r="F23" s="7" t="inlineStr"/>
    </row>
    <row r="24" ht="16" customHeight="1">
      <c r="A24" s="5" t="inlineStr">
        <is>
          <t>MPS</t>
        </is>
      </c>
      <c r="B24" s="5" t="inlineStr">
        <is>
          <t>DMS</t>
        </is>
      </c>
      <c r="C24" s="5" t="n">
        <v>16</v>
      </c>
      <c r="D24" s="6" t="n">
        <v>4545057</v>
      </c>
      <c r="E24" s="6" t="n">
        <v>284066</v>
      </c>
      <c r="F24" s="5" t="inlineStr"/>
    </row>
    <row r="25" ht="16" customHeight="1">
      <c r="A25" s="7" t="inlineStr">
        <is>
          <t>MPS</t>
        </is>
      </c>
      <c r="B25" s="7" t="inlineStr">
        <is>
          <t>DMR</t>
        </is>
      </c>
      <c r="C25" s="7" t="n">
        <v>10</v>
      </c>
      <c r="D25" s="8" t="n">
        <v>3951418</v>
      </c>
      <c r="E25" s="8" t="n">
        <v>395142</v>
      </c>
      <c r="F25" s="7" t="inlineStr"/>
    </row>
    <row r="26" ht="16" customHeight="1">
      <c r="A26" s="5" t="inlineStr">
        <is>
          <t>CSE</t>
        </is>
      </c>
      <c r="B26" s="5" t="inlineStr">
        <is>
          <t>IIS</t>
        </is>
      </c>
      <c r="C26" s="5" t="n">
        <v>7</v>
      </c>
      <c r="D26" s="6" t="n">
        <v>3101819</v>
      </c>
      <c r="E26" s="6" t="n">
        <v>443117</v>
      </c>
      <c r="F26" s="5" t="inlineStr"/>
    </row>
    <row r="27" ht="16" customHeight="1">
      <c r="A27" s="7" t="inlineStr">
        <is>
          <t>CSE</t>
        </is>
      </c>
      <c r="B27" s="7" t="inlineStr">
        <is>
          <t>CCF</t>
        </is>
      </c>
      <c r="C27" s="7" t="n">
        <v>8</v>
      </c>
      <c r="D27" s="8" t="n">
        <v>2892361</v>
      </c>
      <c r="E27" s="8" t="n">
        <v>361545</v>
      </c>
      <c r="F27" s="7" t="inlineStr"/>
    </row>
    <row r="28" ht="16" customHeight="1">
      <c r="A28" s="5" t="inlineStr">
        <is>
          <t>MPS</t>
        </is>
      </c>
      <c r="B28" s="5" t="inlineStr">
        <is>
          <t>PHY</t>
        </is>
      </c>
      <c r="C28" s="5" t="n">
        <v>6</v>
      </c>
      <c r="D28" s="6" t="n">
        <v>2879745</v>
      </c>
      <c r="E28" s="6" t="n">
        <v>479958</v>
      </c>
      <c r="F28" s="5" t="inlineStr"/>
    </row>
    <row r="29" ht="16" customHeight="1">
      <c r="A29" s="7" t="inlineStr">
        <is>
          <t>ENG</t>
        </is>
      </c>
      <c r="B29" s="7" t="inlineStr">
        <is>
          <t>CMMI</t>
        </is>
      </c>
      <c r="C29" s="7" t="n">
        <v>9</v>
      </c>
      <c r="D29" s="8" t="n">
        <v>2735309</v>
      </c>
      <c r="E29" s="8" t="n">
        <v>303923</v>
      </c>
      <c r="F29" s="7" t="inlineStr"/>
    </row>
    <row r="30" ht="16" customHeight="1">
      <c r="A30" s="5" t="inlineStr">
        <is>
          <t>EDU</t>
        </is>
      </c>
      <c r="B30" s="5" t="inlineStr">
        <is>
          <t>DGE</t>
        </is>
      </c>
      <c r="C30" s="5" t="n">
        <v>2</v>
      </c>
      <c r="D30" s="6" t="n">
        <v>2704199</v>
      </c>
      <c r="E30" s="6" t="n">
        <v>1352100</v>
      </c>
      <c r="F30" s="5" t="inlineStr"/>
    </row>
    <row r="31" ht="16" customHeight="1">
      <c r="A31" s="7" t="inlineStr">
        <is>
          <t>BIO</t>
        </is>
      </c>
      <c r="B31" s="7" t="inlineStr">
        <is>
          <t>IOS</t>
        </is>
      </c>
      <c r="C31" s="7" t="n">
        <v>6</v>
      </c>
      <c r="D31" s="8" t="n">
        <v>2284204</v>
      </c>
      <c r="E31" s="8" t="n">
        <v>380701</v>
      </c>
      <c r="F31" s="7" t="inlineStr"/>
    </row>
    <row r="32" ht="16" customHeight="1">
      <c r="A32" s="5" t="inlineStr">
        <is>
          <t>BIO</t>
        </is>
      </c>
      <c r="B32" s="5" t="inlineStr">
        <is>
          <t>DBI</t>
        </is>
      </c>
      <c r="C32" s="5" t="n">
        <v>2</v>
      </c>
      <c r="D32" s="6" t="n">
        <v>1943836</v>
      </c>
      <c r="E32" s="6" t="n">
        <v>971918</v>
      </c>
      <c r="F32" s="5" t="inlineStr"/>
    </row>
    <row r="33" ht="16" customHeight="1">
      <c r="A33" s="7" t="inlineStr">
        <is>
          <t>CSE</t>
        </is>
      </c>
      <c r="B33" s="7" t="inlineStr">
        <is>
          <t>OAC</t>
        </is>
      </c>
      <c r="C33" s="7" t="n">
        <v>7</v>
      </c>
      <c r="D33" s="8" t="n">
        <v>1471500</v>
      </c>
      <c r="E33" s="8" t="n">
        <v>210214</v>
      </c>
      <c r="F33" s="7" t="inlineStr"/>
    </row>
    <row r="34" ht="16" customHeight="1">
      <c r="A34" s="5" t="inlineStr">
        <is>
          <t>ENG</t>
        </is>
      </c>
      <c r="B34" s="5" t="inlineStr">
        <is>
          <t>ECCS</t>
        </is>
      </c>
      <c r="C34" s="5" t="n">
        <v>4</v>
      </c>
      <c r="D34" s="6" t="n">
        <v>1373797</v>
      </c>
      <c r="E34" s="6" t="n">
        <v>343449</v>
      </c>
      <c r="F34" s="5" t="inlineStr"/>
    </row>
    <row r="35" ht="16" customHeight="1">
      <c r="A35" s="7" t="inlineStr">
        <is>
          <t>SBE</t>
        </is>
      </c>
      <c r="B35" s="7" t="inlineStr">
        <is>
          <t>BCS</t>
        </is>
      </c>
      <c r="C35" s="7" t="n">
        <v>4</v>
      </c>
      <c r="D35" s="8" t="n">
        <v>1045013</v>
      </c>
      <c r="E35" s="8" t="n">
        <v>261253</v>
      </c>
      <c r="F35" s="7" t="inlineStr"/>
    </row>
    <row r="36" ht="16" customHeight="1">
      <c r="A36" s="5" t="inlineStr">
        <is>
          <t>CSE</t>
        </is>
      </c>
      <c r="B36" s="5" t="inlineStr">
        <is>
          <t>CNS</t>
        </is>
      </c>
      <c r="C36" s="5" t="n">
        <v>5</v>
      </c>
      <c r="D36" s="6" t="n">
        <v>1004098</v>
      </c>
      <c r="E36" s="6" t="n">
        <v>200820</v>
      </c>
      <c r="F36" s="5" t="inlineStr"/>
    </row>
    <row r="37" ht="16" customHeight="1">
      <c r="A37" s="7" t="inlineStr">
        <is>
          <t>TIP</t>
        </is>
      </c>
      <c r="B37" s="7" t="inlineStr">
        <is>
          <t>TI</t>
        </is>
      </c>
      <c r="C37" s="7" t="n">
        <v>5</v>
      </c>
      <c r="D37" s="8" t="n">
        <v>700000</v>
      </c>
      <c r="E37" s="8" t="n">
        <v>175000</v>
      </c>
      <c r="F37" s="7" t="inlineStr"/>
    </row>
    <row r="38" ht="16" customHeight="1">
      <c r="A38" s="5" t="inlineStr">
        <is>
          <t>SBE</t>
        </is>
      </c>
      <c r="B38" s="5" t="inlineStr">
        <is>
          <t>SES</t>
        </is>
      </c>
      <c r="C38" s="5" t="n">
        <v>4</v>
      </c>
      <c r="D38" s="6" t="n">
        <v>587227</v>
      </c>
      <c r="E38" s="6" t="n">
        <v>146807</v>
      </c>
      <c r="F38" s="5" t="inlineStr"/>
    </row>
    <row r="39" ht="16" customHeight="1">
      <c r="A39" s="7" t="inlineStr">
        <is>
          <t>GEO</t>
        </is>
      </c>
      <c r="B39" s="7" t="inlineStr">
        <is>
          <t>OCE</t>
        </is>
      </c>
      <c r="C39" s="7" t="n">
        <v>1</v>
      </c>
      <c r="D39" s="8" t="n">
        <v>451779</v>
      </c>
      <c r="E39" s="8" t="n">
        <v>451779</v>
      </c>
      <c r="F39" s="7" t="inlineStr"/>
    </row>
    <row r="40" ht="16" customHeight="1">
      <c r="A40" s="5" t="inlineStr">
        <is>
          <t>GEO</t>
        </is>
      </c>
      <c r="B40" s="5" t="inlineStr">
        <is>
          <t>RISE</t>
        </is>
      </c>
      <c r="C40" s="5" t="n">
        <v>1</v>
      </c>
      <c r="D40" s="6" t="n">
        <v>353457</v>
      </c>
      <c r="E40" s="6" t="n">
        <v>353457</v>
      </c>
      <c r="F40" s="5" t="inlineStr"/>
    </row>
    <row r="41" ht="16" customHeight="1">
      <c r="A41" s="7" t="inlineStr">
        <is>
          <t>GEO</t>
        </is>
      </c>
      <c r="B41" s="7" t="inlineStr">
        <is>
          <t>EAR</t>
        </is>
      </c>
      <c r="C41" s="7" t="n">
        <v>1</v>
      </c>
      <c r="D41" s="8" t="n">
        <v>339129</v>
      </c>
      <c r="E41" s="8" t="n">
        <v>339129</v>
      </c>
      <c r="F41" s="7" t="inlineStr"/>
    </row>
    <row r="42" ht="16" customHeight="1">
      <c r="A42" s="5" t="inlineStr">
        <is>
          <t>SBE</t>
        </is>
      </c>
      <c r="B42" s="5" t="inlineStr">
        <is>
          <t>SMA</t>
        </is>
      </c>
      <c r="C42" s="5" t="n">
        <v>1</v>
      </c>
      <c r="D42" s="6" t="n">
        <v>100000</v>
      </c>
      <c r="E42" s="6" t="n">
        <v>100000</v>
      </c>
      <c r="F42" s="5" t="inlineStr"/>
    </row>
    <row r="43" ht="16" customHeight="1">
      <c r="A43" s="7" t="inlineStr">
        <is>
          <t>TIP</t>
        </is>
      </c>
      <c r="B43" s="7" t="inlineStr">
        <is>
          <t>TF</t>
        </is>
      </c>
      <c r="C43" s="7" t="n">
        <v>1</v>
      </c>
      <c r="D43" s="8" t="n">
        <v>99776</v>
      </c>
      <c r="E43" s="8" t="n">
        <v>99776</v>
      </c>
      <c r="F43" s="7" t="inlineStr"/>
    </row>
    <row r="45" ht="22" customHeight="1">
      <c r="A45" s="3" t="inlineStr">
        <is>
          <t>TOP 5 GRANTS BY AWARD AMOUNT</t>
        </is>
      </c>
    </row>
    <row r="46" ht="18" customHeight="1">
      <c r="A46" s="4" t="inlineStr">
        <is>
          <t>Award ID</t>
        </is>
      </c>
      <c r="B46" s="4" t="inlineStr">
        <is>
          <t>PI</t>
        </is>
      </c>
      <c r="C46" s="4" t="inlineStr">
        <is>
          <t>Directorate</t>
        </is>
      </c>
      <c r="D46" s="4" t="inlineStr">
        <is>
          <t>Fund Program</t>
        </is>
      </c>
      <c r="E46" s="4" t="inlineStr">
        <is>
          <t>Funds Obligated ($)</t>
        </is>
      </c>
      <c r="F46" s="4" t="inlineStr">
        <is>
          <t>Title</t>
        </is>
      </c>
    </row>
    <row r="47" ht="30" customHeight="1">
      <c r="A47" s="13" t="inlineStr">
        <is>
          <t>2511158</t>
        </is>
      </c>
      <c r="B47" s="14" t="inlineStr">
        <is>
          <t>Michael Tsapatsis</t>
        </is>
      </c>
      <c r="C47" s="13" t="inlineStr">
        <is>
          <t>ENG</t>
        </is>
      </c>
      <c r="D47" s="14" t="inlineStr">
        <is>
          <t>Major Research Instrumentation</t>
        </is>
      </c>
      <c r="E47" s="15" t="n">
        <v>3540000</v>
      </c>
      <c r="F47" s="16" t="inlineStr">
        <is>
          <t>Equipment: MRI: Track 2 Acquisition of an Extreme Ultra Violet (EUV) Resist Floo</t>
        </is>
      </c>
    </row>
    <row r="48" ht="30" customHeight="1">
      <c r="A48" s="17" t="inlineStr">
        <is>
          <t>2421670</t>
        </is>
      </c>
      <c r="B48" s="18" t="inlineStr">
        <is>
          <t>Yun Chen</t>
        </is>
      </c>
      <c r="C48" s="17" t="inlineStr">
        <is>
          <t>ENG</t>
        </is>
      </c>
      <c r="D48" s="18" t="inlineStr">
        <is>
          <t>EFRI Research Projects</t>
        </is>
      </c>
      <c r="E48" s="19" t="n">
        <v>3000000</v>
      </c>
      <c r="F48" s="20" t="inlineStr">
        <is>
          <t>TRAILBLAZER: Quantum-Enabled Dial (QED) to Control Biochemical Reactions and Cel</t>
        </is>
      </c>
    </row>
    <row r="49" ht="30" customHeight="1">
      <c r="A49" s="13" t="inlineStr">
        <is>
          <t>2442928</t>
        </is>
      </c>
      <c r="B49" s="14" t="inlineStr">
        <is>
          <t>Tobias Marriage</t>
        </is>
      </c>
      <c r="C49" s="13" t="inlineStr">
        <is>
          <t>MPS</t>
        </is>
      </c>
      <c r="D49" s="14" t="inlineStr">
        <is>
          <t>MID-SCALE INSTRUMENTATION</t>
        </is>
      </c>
      <c r="E49" s="15" t="n">
        <v>2831003</v>
      </c>
      <c r="F49" s="16" t="inlineStr">
        <is>
          <t>Measuring the Largest Angular-Scale CMB Polarization from a Ground-based Surveyo</t>
        </is>
      </c>
    </row>
    <row r="50" ht="30" customHeight="1">
      <c r="A50" s="17" t="inlineStr">
        <is>
          <t>2346004</t>
        </is>
      </c>
      <c r="B50" s="18" t="inlineStr">
        <is>
          <t>Paulette Clancy</t>
        </is>
      </c>
      <c r="C50" s="17" t="inlineStr">
        <is>
          <t>EDU</t>
        </is>
      </c>
      <c r="D50" s="18" t="inlineStr">
        <is>
          <t>NSF Research Traineeship (NRT)</t>
        </is>
      </c>
      <c r="E50" s="19" t="n">
        <v>2475715</v>
      </c>
      <c r="F50" s="20" t="inlineStr">
        <is>
          <t>Collaborative Research: NRT-Al: AI-driven next-generation semiconductor material</t>
        </is>
      </c>
    </row>
    <row r="51" ht="30" customHeight="1">
      <c r="A51" s="13" t="inlineStr">
        <is>
          <t>2515214</t>
        </is>
      </c>
      <c r="B51" s="14" t="inlineStr">
        <is>
          <t>Thomas Hartung</t>
        </is>
      </c>
      <c r="C51" s="13" t="inlineStr">
        <is>
          <t>ENG</t>
        </is>
      </c>
      <c r="D51" s="14" t="inlineStr">
        <is>
          <t>EFRI Research Projects</t>
        </is>
      </c>
      <c r="E51" s="15" t="n">
        <v>1999508</v>
      </c>
      <c r="F51" s="16" t="inlineStr">
        <is>
          <t>EFRI BEGIN OI: Improving Learning of Embodied Organoid Intelligence Through Rewa</t>
        </is>
      </c>
    </row>
  </sheetData>
  <mergeCells count="6">
    <mergeCell ref="A16:F16"/>
    <mergeCell ref="A2:F2"/>
    <mergeCell ref="A11:F11"/>
    <mergeCell ref="A1:F1"/>
    <mergeCell ref="A45:F45"/>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48"/>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22" customWidth="1" min="3" max="3"/>
    <col width="8" customWidth="1" min="4" max="4"/>
    <col width="12" customWidth="1" min="5" max="5"/>
    <col width="12" customWidth="1" min="6" max="6"/>
    <col width="12" customWidth="1" min="7" max="7"/>
    <col width="10" customWidth="1" min="8" max="8"/>
    <col width="18" customWidth="1" min="9" max="9"/>
    <col width="18" customWidth="1" min="10" max="10"/>
    <col width="14" customWidth="1" min="11" max="11"/>
    <col width="14" customWidth="1" min="12" max="12"/>
    <col width="26" customWidth="1" min="13" max="13"/>
    <col width="30" customWidth="1" min="14" max="14"/>
    <col width="22" customWidth="1" min="15" max="15"/>
    <col width="22" customWidth="1" min="16" max="16"/>
    <col width="26" customWidth="1" min="17" max="17"/>
    <col width="30" customWidth="1" min="18" max="18"/>
    <col width="14" customWidth="1" min="19" max="19"/>
    <col width="8" customWidth="1" min="20" max="20"/>
    <col width="10" customWidth="1" min="21" max="21"/>
    <col width="16" customWidth="1" min="22" max="22"/>
    <col width="14" customWidth="1" min="23" max="23"/>
    <col width="10" customWidth="1" min="24" max="24"/>
    <col width="12" customWidth="1" min="25" max="25"/>
    <col width="12" customWidth="1" min="26" max="26"/>
    <col width="35" customWidth="1" min="27" max="27"/>
    <col width="30" customWidth="1" min="28" max="28"/>
    <col width="16" customWidth="1" min="29" max="29"/>
    <col width="16" customWidth="1" min="30" max="30"/>
    <col width="12" customWidth="1" min="31" max="31"/>
    <col width="10" customWidth="1" min="32" max="32"/>
    <col width="16" customWidth="1" min="33" max="33"/>
    <col width="16" customWidth="1" min="34" max="34"/>
    <col width="70" customWidth="1" min="35" max="35"/>
    <col width="70" customWidth="1" min="36" max="36"/>
  </cols>
  <sheetData>
    <row r="1" ht="30" customHeight="1">
      <c r="A1" s="21" t="inlineStr">
        <is>
          <t>Award ID</t>
        </is>
      </c>
      <c r="B1" s="21" t="inlineStr">
        <is>
          <t>Title</t>
        </is>
      </c>
      <c r="C1" s="21" t="inlineStr">
        <is>
          <t>Transaction Type</t>
        </is>
      </c>
      <c r="D1" s="21" t="inlineStr">
        <is>
          <t>Active</t>
        </is>
      </c>
      <c r="E1" s="21" t="inlineStr">
        <is>
          <t>Award Date</t>
        </is>
      </c>
      <c r="F1" s="21" t="inlineStr">
        <is>
          <t>Start Date</t>
        </is>
      </c>
      <c r="G1" s="21" t="inlineStr">
        <is>
          <t>End Date</t>
        </is>
      </c>
      <c r="H1" s="21" t="inlineStr">
        <is>
          <t>Award Year</t>
        </is>
      </c>
      <c r="I1" s="21" t="inlineStr">
        <is>
          <t>Funds Obligated ($)</t>
        </is>
      </c>
      <c r="J1" s="21" t="inlineStr">
        <is>
          <t>Estimated Total ($)</t>
        </is>
      </c>
      <c r="K1" s="21" t="inlineStr">
        <is>
          <t>PI First Name</t>
        </is>
      </c>
      <c r="L1" s="21" t="inlineStr">
        <is>
          <t>PI Last Name</t>
        </is>
      </c>
      <c r="M1" s="21" t="inlineStr">
        <is>
          <t>PI Email</t>
        </is>
      </c>
      <c r="N1" s="21" t="inlineStr">
        <is>
          <t>Co-PIs</t>
        </is>
      </c>
      <c r="O1" s="21" t="inlineStr">
        <is>
          <t>Program Director/PI</t>
        </is>
      </c>
      <c r="P1" s="21" t="inlineStr">
        <is>
          <t>Program Officer</t>
        </is>
      </c>
      <c r="Q1" s="21" t="inlineStr">
        <is>
          <t>Program Officer Email</t>
        </is>
      </c>
      <c r="R1" s="21" t="inlineStr">
        <is>
          <t>Organization</t>
        </is>
      </c>
      <c r="S1" s="21" t="inlineStr">
        <is>
          <t>City</t>
        </is>
      </c>
      <c r="T1" s="21" t="inlineStr">
        <is>
          <t>State</t>
        </is>
      </c>
      <c r="U1" s="21" t="inlineStr">
        <is>
          <t>Zip Code</t>
        </is>
      </c>
      <c r="V1" s="21" t="inlineStr">
        <is>
          <t>UEI Number</t>
        </is>
      </c>
      <c r="W1" s="21" t="inlineStr">
        <is>
          <t>Perf City</t>
        </is>
      </c>
      <c r="X1" s="21" t="inlineStr">
        <is>
          <t>Perf State</t>
        </is>
      </c>
      <c r="Y1" s="21" t="inlineStr">
        <is>
          <t>Directorate</t>
        </is>
      </c>
      <c r="Z1" s="21" t="inlineStr">
        <is>
          <t>Division</t>
        </is>
      </c>
      <c r="AA1" s="21" t="inlineStr">
        <is>
          <t>Fund Program</t>
        </is>
      </c>
      <c r="AB1" s="21" t="inlineStr">
        <is>
          <t>Program</t>
        </is>
      </c>
      <c r="AC1" s="21" t="inlineStr">
        <is>
          <t>Program Element Code</t>
        </is>
      </c>
      <c r="AD1" s="21" t="inlineStr">
        <is>
          <t>Program Ref Code</t>
        </is>
      </c>
      <c r="AE1" s="21" t="inlineStr">
        <is>
          <t>CFDA Number</t>
        </is>
      </c>
      <c r="AF1" s="21" t="inlineStr">
        <is>
          <t>Public Access Mandate</t>
        </is>
      </c>
      <c r="AG1" s="21" t="inlineStr">
        <is>
          <t>Init Amendment Date</t>
        </is>
      </c>
      <c r="AH1" s="21" t="inlineStr">
        <is>
          <t>Latest Amendment Date</t>
        </is>
      </c>
      <c r="AI1" s="21" t="inlineStr">
        <is>
          <t>Abstract</t>
        </is>
      </c>
      <c r="AJ1" s="21" t="inlineStr">
        <is>
          <t>Project Outcomes</t>
        </is>
      </c>
    </row>
    <row r="2" ht="18" customHeight="1">
      <c r="A2" s="22" t="inlineStr">
        <is>
          <t>2446512</t>
        </is>
      </c>
      <c r="B2" s="23" t="inlineStr">
        <is>
          <t>Doctoral Dissertation Research: Education and Vocational Training in the Energy Sector</t>
        </is>
      </c>
      <c r="C2" s="22" t="inlineStr">
        <is>
          <t>Standard Grant</t>
        </is>
      </c>
      <c r="D2" s="22" t="inlineStr">
        <is>
          <t>false</t>
        </is>
      </c>
      <c r="E2" s="22" t="inlineStr">
        <is>
          <t>12/20/2024</t>
        </is>
      </c>
      <c r="F2" s="22" t="inlineStr">
        <is>
          <t>01/15/2025</t>
        </is>
      </c>
      <c r="G2" s="22" t="inlineStr">
        <is>
          <t>12/31/2025</t>
        </is>
      </c>
      <c r="H2" s="22" t="inlineStr">
        <is>
          <t>2024</t>
        </is>
      </c>
      <c r="I2" s="24" t="n">
        <v>24733</v>
      </c>
      <c r="J2" s="24" t="n">
        <v>24733</v>
      </c>
      <c r="K2" s="22" t="inlineStr">
        <is>
          <t>Anand</t>
        </is>
      </c>
      <c r="L2" s="22" t="inlineStr">
        <is>
          <t>Pandian</t>
        </is>
      </c>
      <c r="M2" s="22" t="inlineStr">
        <is>
          <t>pandian@jhu.edu</t>
        </is>
      </c>
      <c r="N2" s="22" t="inlineStr">
        <is>
          <t>Jhonnatan F Lopez Vega jlopezv1@jhu.edu</t>
        </is>
      </c>
      <c r="O2" s="22" t="inlineStr">
        <is>
          <t>Anand Pandian</t>
        </is>
      </c>
      <c r="P2" s="22" t="inlineStr">
        <is>
          <t>Jeffrey Mantz</t>
        </is>
      </c>
      <c r="Q2" s="22" t="inlineStr">
        <is>
          <t>jmantz@nsf.gov</t>
        </is>
      </c>
      <c r="R2" s="22" t="inlineStr">
        <is>
          <t>THE JOHNS HOPKINS UNIVERSITY</t>
        </is>
      </c>
      <c r="S2" s="22" t="inlineStr">
        <is>
          <t>BALTIMORE</t>
        </is>
      </c>
      <c r="T2" s="22" t="inlineStr">
        <is>
          <t>MD</t>
        </is>
      </c>
      <c r="U2" s="22" t="inlineStr">
        <is>
          <t>212182608</t>
        </is>
      </c>
      <c r="V2" s="22" t="inlineStr">
        <is>
          <t>FTMTDMBR29C7</t>
        </is>
      </c>
      <c r="W2" s="22" t="inlineStr">
        <is>
          <t>BALTIMORE</t>
        </is>
      </c>
      <c r="X2" s="22" t="inlineStr">
        <is>
          <t>MD</t>
        </is>
      </c>
      <c r="Y2" s="22" t="inlineStr">
        <is>
          <t>SBE</t>
        </is>
      </c>
      <c r="Z2" s="22" t="inlineStr">
        <is>
          <t>BCS</t>
        </is>
      </c>
      <c r="AA2" s="23" t="inlineStr">
        <is>
          <t>Cult Anthro DDRI</t>
        </is>
      </c>
      <c r="AB2" s="22" t="inlineStr">
        <is>
          <t>CULTURAL ANTHROPOLOGY, GRADUATE INVOLVEMENT</t>
        </is>
      </c>
      <c r="AC2" s="22" t="inlineStr">
        <is>
          <t>760500</t>
        </is>
      </c>
      <c r="AD2" s="22" t="inlineStr">
        <is>
          <t>1390, 9179</t>
        </is>
      </c>
      <c r="AE2" s="22" t="inlineStr">
        <is>
          <t>47.075</t>
        </is>
      </c>
      <c r="AF2" s="22" t="inlineStr">
        <is>
          <t>1</t>
        </is>
      </c>
      <c r="AG2" s="22" t="inlineStr">
        <is>
          <t>12/20/2024</t>
        </is>
      </c>
      <c r="AH2" s="22" t="inlineStr">
        <is>
          <t>12/20/2024</t>
        </is>
      </c>
      <c r="AI2" s="23" t="inlineStr">
        <is>
          <t>This project explores changes in work and educational relationships within the youth labor market in a context of where biomass-based electricity development is being initiated to meet rapidly increasingly energy needs. The establishment of technical education programs in energy development, alongside the launch of biomass-based electricity generation projects, signals a significant shift in energy extraction strategies, and the vocational labor training that is necessary to sustain the sector. This study offers insights into the broader implications of energy diversification efforts, highlighting their impact on rural youth. In addition to providing training for a graduate student in scientific methods of data collection and analysis, the project also includes pathways for disseminating the data and results to improve the public’s understanding of the scientific analysis of rural educational and development practices.
To examine how youth engage with the energy diversification, this project employs behavioral observation within a vocational educational setting, engaging teachers, administrators, and students, as well as interviews with bureaucratic functionaries, school administrators, and students, and teachers at the three municipal high schools within which vocational training is conducted. The study explores three areas: how young people are integrated into new energy projects, the challenges they face in pursuing vocational education in these fields amidst socio-ecological transformations, and how they navigate labor opportunities within this emerging sector. This approach contributes to scholarly discussions in the anthropology of energy, education, and labor. It provides an opportunity to explore whether changing educational practices that focus on environmental science and bioenergy impact labor relations and socio-ecological relations.
This award reflects NSF's statutory mission and has been deemed worthy of support through evaluation using the Foundation's intellectual merit and broader impacts review criteria.</t>
        </is>
      </c>
      <c r="AJ2" s="23" t="inlineStr"/>
    </row>
    <row r="3" ht="18" customHeight="1">
      <c r="A3" s="25" t="inlineStr">
        <is>
          <t>2421670</t>
        </is>
      </c>
      <c r="B3" s="26" t="inlineStr">
        <is>
          <t>TRAILBLAZER: Quantum-Enabled Dial (QED) to Control Biochemical Reactions and Cell Behaviors</t>
        </is>
      </c>
      <c r="C3" s="25" t="inlineStr">
        <is>
          <t>Standard Grant</t>
        </is>
      </c>
      <c r="D3" s="25" t="inlineStr">
        <is>
          <t>true</t>
        </is>
      </c>
      <c r="E3" s="25" t="inlineStr">
        <is>
          <t>07/22/2024</t>
        </is>
      </c>
      <c r="F3" s="25" t="inlineStr">
        <is>
          <t>01/01/2025</t>
        </is>
      </c>
      <c r="G3" s="25" t="inlineStr">
        <is>
          <t>12/31/2027</t>
        </is>
      </c>
      <c r="H3" s="25" t="inlineStr">
        <is>
          <t>2024</t>
        </is>
      </c>
      <c r="I3" s="27" t="n">
        <v>3000000</v>
      </c>
      <c r="J3" s="27" t="n">
        <v>3000000</v>
      </c>
      <c r="K3" s="25" t="inlineStr">
        <is>
          <t>Yun</t>
        </is>
      </c>
      <c r="L3" s="25" t="inlineStr">
        <is>
          <t>Chen</t>
        </is>
      </c>
      <c r="M3" s="25" t="inlineStr">
        <is>
          <t>lgriff33@jh.edu</t>
        </is>
      </c>
      <c r="N3" s="25" t="inlineStr"/>
      <c r="O3" s="25" t="inlineStr">
        <is>
          <t>Yun Chen</t>
        </is>
      </c>
      <c r="P3" s="25" t="inlineStr">
        <is>
          <t>Alias Smith</t>
        </is>
      </c>
      <c r="Q3" s="25" t="inlineStr">
        <is>
          <t>alismith@nsf.gov</t>
        </is>
      </c>
      <c r="R3" s="25" t="inlineStr">
        <is>
          <t>THE JOHNS HOPKINS UNIVERSITY</t>
        </is>
      </c>
      <c r="S3" s="25" t="inlineStr">
        <is>
          <t>BALTIMORE</t>
        </is>
      </c>
      <c r="T3" s="25" t="inlineStr">
        <is>
          <t>MD</t>
        </is>
      </c>
      <c r="U3" s="25" t="inlineStr">
        <is>
          <t>212182608</t>
        </is>
      </c>
      <c r="V3" s="25" t="inlineStr">
        <is>
          <t>FTMTDMBR29C7</t>
        </is>
      </c>
      <c r="W3" s="25" t="inlineStr">
        <is>
          <t>BALTIMORE</t>
        </is>
      </c>
      <c r="X3" s="25" t="inlineStr">
        <is>
          <t>MD</t>
        </is>
      </c>
      <c r="Y3" s="25" t="inlineStr">
        <is>
          <t>ENG</t>
        </is>
      </c>
      <c r="Z3" s="25" t="inlineStr">
        <is>
          <t>EFMA</t>
        </is>
      </c>
      <c r="AA3" s="26" t="inlineStr">
        <is>
          <t>EFRI Research Projects</t>
        </is>
      </c>
      <c r="AB3" s="25" t="inlineStr"/>
      <c r="AC3" s="25" t="inlineStr">
        <is>
          <t>763300</t>
        </is>
      </c>
      <c r="AD3" s="25" t="inlineStr"/>
      <c r="AE3" s="25" t="inlineStr">
        <is>
          <t>47.041</t>
        </is>
      </c>
      <c r="AF3" s="25" t="inlineStr">
        <is>
          <t>1</t>
        </is>
      </c>
      <c r="AG3" s="25" t="inlineStr">
        <is>
          <t>07/22/2024</t>
        </is>
      </c>
      <c r="AH3" s="25" t="inlineStr">
        <is>
          <t>06/05/2025</t>
        </is>
      </c>
      <c r="AI3" s="26" t="inlineStr">
        <is>
          <t>We are in the middle of the “second quantum revolution”, with quantum technology poised to deliver unprecedented advances in computing, communication, and sensing. The power of quantum technology in biomedical sciences, so far untapped, will be developed in this study. By leveraging the quantum property, namely electron spins, in engineered proteins proposed in this study, biochemical reactions, and subsequent cell behaviors, can be controlled using magnetic fields. Magnetic fields can alter electron spin states in the engineered proteins.  The design of the engineered proteins is inspired by a family of naturally occurring proteins which are sensitive to magnetic fields. This family of magneto-sensitive proteins is known to control biological clocks, DNA damage repair, neuronal activities, and seasonal navigation of migratory birds. The engineered proteins will exhibit graded sensitivity to magnetic fields, where their activities are correlated to the strength of the externally applied magnetic field. As such, biochemical reactions can be dialed down or up by adjusting the field strength. Therefore, this new class of engineered proteins is named “quantum-enabled dial (QED)”. QED will have high impacts in many fields, since QED activity can be tuned on a continuous scale. QED can be excited by light or by chemical energy, is modular and can be designed to control numerous enzymatic activities, and the QED activities can be spatially addressed by patterned magnetic fields. QED activity can be varied over time by varying field strengths over time. Lastly, QED can potentially be useful for quantum computing. Therefore, QEDs will open new avenues in synthetic biology, medicine, and quantum computing. The project team will create immersive research experiences that engage a diverse group of participants and organize regular discussions that address the challenges and solutions to increasing the participation and success of the full spectrum of engineering and science talent in the nation. 
A new class of synthetic proteins, “quantum-enabled dial (QED)”, will be developed with the aim to control prescribed biochemical reactions thus actuating cellular behaviors. The backbone of QED is a flavoprotein, where the flavin and a neighbor amino acid form a spin-correlated radical pair upon chemical or photonic excitation. Magnetic fields can change the energy landscape within the QED molecule. As a result, the rate of the radical pair decaying to the ground state can be controlled by applying external magnetic fields. The decay process releases energy that can be utilized to drive other biochemical reactions. Two types of QED, QED-up and QED-down, will be developed. Increasing the field strength will increase the rate of the reaction coupled to QED-up in a graded manner, but it will decrease the rate of the reaction coupled to QED-down. The cDNA constructs encoding QED-up and -down will be first designed and then expressed in cells or fabricated tissue samples. QED activities in cells when subjected to different magnetic field strengths will be calibrated to guide future applications. QED can be used to solve grand challenges in synthetic biology, tissue engineering, medicine, and quantum computing. For example, QED-based bespoke molecules can be built in a straightforward fashion. QED can be used as smart drugs. When and where the drug is active can be controlled precisely. QED can also be the basis of hot Q-bits, so that ambient temperature quantum computing can be realized.
This award reflects NSF's statutory mission and has been deemed worthy of support through evaluation using the Foundation's intellectual merit and broader impacts review criteria.</t>
        </is>
      </c>
      <c r="AJ3" s="26" t="inlineStr"/>
    </row>
    <row r="4" ht="18" customHeight="1">
      <c r="A4" s="22" t="inlineStr">
        <is>
          <t>2442712</t>
        </is>
      </c>
      <c r="B4" s="23" t="inlineStr">
        <is>
          <t>CAREER:  Open-source Probabilistic AI Infrastructure for Dynamic Cascading Disaster Impacts Modeling and Assessment</t>
        </is>
      </c>
      <c r="C4" s="22" t="inlineStr">
        <is>
          <t>Standard Grant</t>
        </is>
      </c>
      <c r="D4" s="22" t="inlineStr">
        <is>
          <t>true</t>
        </is>
      </c>
      <c r="E4" s="22" t="inlineStr">
        <is>
          <t>12/17/2024</t>
        </is>
      </c>
      <c r="F4" s="22" t="inlineStr">
        <is>
          <t>01/01/2025</t>
        </is>
      </c>
      <c r="G4" s="22" t="inlineStr">
        <is>
          <t>12/31/2029</t>
        </is>
      </c>
      <c r="H4" s="22" t="inlineStr">
        <is>
          <t>2024</t>
        </is>
      </c>
      <c r="I4" s="24" t="n">
        <v>589274</v>
      </c>
      <c r="J4" s="24" t="n">
        <v>589274</v>
      </c>
      <c r="K4" s="22" t="inlineStr">
        <is>
          <t>SUSU</t>
        </is>
      </c>
      <c r="L4" s="22" t="inlineStr">
        <is>
          <t>XU</t>
        </is>
      </c>
      <c r="M4" s="22" t="inlineStr">
        <is>
          <t>sxu83@jhu.edu</t>
        </is>
      </c>
      <c r="N4" s="22" t="inlineStr"/>
      <c r="O4" s="22" t="inlineStr">
        <is>
          <t>SUSU XU</t>
        </is>
      </c>
      <c r="P4" s="22" t="inlineStr">
        <is>
          <t>Sharmistha Bagchi-Sen</t>
        </is>
      </c>
      <c r="Q4" s="22" t="inlineStr">
        <is>
          <t>shabagch@nsf.gov</t>
        </is>
      </c>
      <c r="R4" s="22" t="inlineStr">
        <is>
          <t>THE JOHNS HOPKINS UNIVERSITY</t>
        </is>
      </c>
      <c r="S4" s="22" t="inlineStr">
        <is>
          <t>BALTIMORE</t>
        </is>
      </c>
      <c r="T4" s="22" t="inlineStr">
        <is>
          <t>MD</t>
        </is>
      </c>
      <c r="U4" s="22" t="inlineStr">
        <is>
          <t>212182608</t>
        </is>
      </c>
      <c r="V4" s="22" t="inlineStr">
        <is>
          <t>FTMTDMBR29C7</t>
        </is>
      </c>
      <c r="W4" s="22" t="inlineStr">
        <is>
          <t>BALTIMORE</t>
        </is>
      </c>
      <c r="X4" s="22" t="inlineStr">
        <is>
          <t>MD</t>
        </is>
      </c>
      <c r="Y4" s="22" t="inlineStr">
        <is>
          <t>CSE</t>
        </is>
      </c>
      <c r="Z4" s="22" t="inlineStr">
        <is>
          <t>OAC</t>
        </is>
      </c>
      <c r="AA4" s="23" t="inlineStr">
        <is>
          <t>CAREER: FACULTY EARLY CAR DEV</t>
        </is>
      </c>
      <c r="AB4" s="22" t="inlineStr">
        <is>
          <t>CAREER-Faculty Erly Career Dev</t>
        </is>
      </c>
      <c r="AC4" s="22" t="inlineStr">
        <is>
          <t>104500</t>
        </is>
      </c>
      <c r="AD4" s="22" t="inlineStr">
        <is>
          <t>1045</t>
        </is>
      </c>
      <c r="AE4" s="22" t="inlineStr">
        <is>
          <t>47.070</t>
        </is>
      </c>
      <c r="AF4" s="22" t="inlineStr">
        <is>
          <t>1</t>
        </is>
      </c>
      <c r="AG4" s="22" t="inlineStr">
        <is>
          <t>12/17/2024</t>
        </is>
      </c>
      <c r="AH4" s="22" t="inlineStr">
        <is>
          <t>12/17/2024</t>
        </is>
      </c>
      <c r="AI4" s="23" t="inlineStr">
        <is>
          <t>No-notice and short-notice natural hazards, such as earthquakes and hurricanes, often cause cascading impacts. Timely and accurate modeling and assessment of hazard impacts are critical for rapid disaster response and long-term recovery and for enhancing disaster resilience. Recent developments in remote sensing technologies continue to bring massive data on disaster impacts. However, it remains challenging for end users like emergency management agencies and researchers to directly and accurately decipher the location, severity, and uncertainty of disaster impacts from these datasets, mainly due to the highly complex and uncertain causal dependencies in the cascading physical-digital disaster processes. This project aims to overcome this barrier by pioneering the development of next-generation scalable, efficient, and interpretable probabilistic AI infrastructure to enable joint modeling and assessment of cascading disaster impacts and to advance STEM education and emergency management practice through integrated research, education, training, and outreach framework. It aligns with NSF's commitment to promoting the progress of science and facilitating breakthroughs in AI and resilience. The infrastructure can potentially improve emergency management and enhance community resilience across the U.S. and worldwide by providing near real-time spatial probability estimates of multiple disaster impacts. It can advance the knowledge of complex causal dependencies in compound hazard scenarios. It also may enable the advancement of multi-modal, multi-resolution learning, causal Bayesian networks, causal dependency modeling, and probabilistic inference. Multiple education and outreach activities are integrated into this research, including co-creating computation- and art-infused high school teaching modules with high school art and STEM teachers, engaging diverse students in research activities, improving curriculum design, and convening professional training sessions. These activities will foster interest in computational and interdisciplinary science, raise awareness of natural hazard impacts, promote diversity and inclusion, and facilitate workforce training. 
The technical objective of this project is to develop a next-generation scalable, efficient, and transparent causality-informed probabilistic AI infrastructure that supports the automatic construction and inference of various complex disaster-type Bayesian networks and thus enables joint modeling and assessment of cascading disaster impacts. This cyberinfrastructure will advance modeling, integration, and inference of complex causal Bayesian networks for dynamic cascading disaster impacts assessment and enhancing disaster resilience by enabling the convergence of geophysical hazard/infrastructure damage models, causal representation, multi-resolution data assimilation, deep probabilistic graphical modeling and inference, and domain-specific probabilistic programming. Specifically, the project introduces the following cyberinfrastructure innovations. First, a novel causal Bayesian network formulation and modeling framework will be developed to allow flexible, interpretable, and structured probabilistic representations of various disasters, environment factors, multi-resolution multi-modal sensing observation, and complex causal dependencies. A novel variational inference framework will be developed to enable fast inference over various causal Bayesian network structures for large-scale cascading disaster impact assessment from multi-modal multi-resolution observations. The framework will be further extended to enable online updating with newly arrived sparse ground truth disaster impact reports. The developed modeling, inference, and preprocessing modules will be evaluated and integrated into an efficient GPU-accelerated probabilistic programming software infrastructure with user instructions made available to the research and emergency response community.
This award reflects NSF's statutory mission and has been deemed worthy of support through evaluation using the Foundation's intellectual merit and broader impacts review criteria.</t>
        </is>
      </c>
      <c r="AJ4" s="23" t="inlineStr"/>
    </row>
    <row r="5" ht="18" customHeight="1">
      <c r="A5" s="25" t="inlineStr">
        <is>
          <t>2430292</t>
        </is>
      </c>
      <c r="B5" s="26" t="inlineStr">
        <is>
          <t>NSF-BSF:CIF:Small:Graph Machine Learning With Non-Canonical Symmetries</t>
        </is>
      </c>
      <c r="C5" s="25" t="inlineStr">
        <is>
          <t>Standard Grant</t>
        </is>
      </c>
      <c r="D5" s="25" t="inlineStr">
        <is>
          <t>true</t>
        </is>
      </c>
      <c r="E5" s="25" t="inlineStr">
        <is>
          <t>11/20/2024</t>
        </is>
      </c>
      <c r="F5" s="25" t="inlineStr">
        <is>
          <t>01/01/2025</t>
        </is>
      </c>
      <c r="G5" s="25" t="inlineStr">
        <is>
          <t>12/31/2027</t>
        </is>
      </c>
      <c r="H5" s="25" t="inlineStr">
        <is>
          <t>2024</t>
        </is>
      </c>
      <c r="I5" s="27" t="n">
        <v>568008</v>
      </c>
      <c r="J5" s="27" t="n">
        <v>568008</v>
      </c>
      <c r="K5" s="25" t="inlineStr">
        <is>
          <t>Soledad</t>
        </is>
      </c>
      <c r="L5" s="25" t="inlineStr">
        <is>
          <t>Villar</t>
        </is>
      </c>
      <c r="M5" s="25" t="inlineStr">
        <is>
          <t>svillar3@jhu.edu</t>
        </is>
      </c>
      <c r="N5" s="25" t="inlineStr"/>
      <c r="O5" s="25" t="inlineStr">
        <is>
          <t>Soledad Villar</t>
        </is>
      </c>
      <c r="P5" s="25" t="inlineStr">
        <is>
          <t>Phillip Regalia</t>
        </is>
      </c>
      <c r="Q5" s="25" t="inlineStr">
        <is>
          <t>pregalia@nsf.gov</t>
        </is>
      </c>
      <c r="R5" s="25" t="inlineStr">
        <is>
          <t>THE JOHNS HOPKINS UNIVERSITY</t>
        </is>
      </c>
      <c r="S5" s="25" t="inlineStr">
        <is>
          <t>BALTIMORE</t>
        </is>
      </c>
      <c r="T5" s="25" t="inlineStr">
        <is>
          <t>MD</t>
        </is>
      </c>
      <c r="U5" s="25" t="inlineStr">
        <is>
          <t>212182608</t>
        </is>
      </c>
      <c r="V5" s="25" t="inlineStr">
        <is>
          <t>FTMTDMBR29C7</t>
        </is>
      </c>
      <c r="W5" s="25" t="inlineStr">
        <is>
          <t>BALTIMORE</t>
        </is>
      </c>
      <c r="X5" s="25" t="inlineStr">
        <is>
          <t>MD</t>
        </is>
      </c>
      <c r="Y5" s="25" t="inlineStr">
        <is>
          <t>CSE</t>
        </is>
      </c>
      <c r="Z5" s="25" t="inlineStr">
        <is>
          <t>CCF</t>
        </is>
      </c>
      <c r="AA5" s="26" t="inlineStr">
        <is>
          <t>Comm &amp; Information Foundations</t>
        </is>
      </c>
      <c r="AB5" s="25" t="inlineStr">
        <is>
          <t>SMALL PROJECT, SIGNAL PROCESSING, WOMEN, MINORITY, DISABLED, NEC</t>
        </is>
      </c>
      <c r="AC5" s="25" t="inlineStr">
        <is>
          <t>779700</t>
        </is>
      </c>
      <c r="AD5" s="25" t="inlineStr">
        <is>
          <t>7923, 7936, 9102</t>
        </is>
      </c>
      <c r="AE5" s="25" t="inlineStr">
        <is>
          <t>47.070</t>
        </is>
      </c>
      <c r="AF5" s="25" t="inlineStr">
        <is>
          <t>1</t>
        </is>
      </c>
      <c r="AG5" s="25" t="inlineStr">
        <is>
          <t>11/20/2024</t>
        </is>
      </c>
      <c r="AH5" s="25" t="inlineStr">
        <is>
          <t>11/20/2024</t>
        </is>
      </c>
      <c r="AI5" s="26" t="inlineStr">
        <is>
          <t>In many applications, data is expressed in terms of graphs (e.g., molecules or social networks), and those graphs are typically expressed as matrices or lists of edges and nodes for processing purposes. However, the representation of a graph as a matrix or list is not unique, and the non-uniqueness can be expressed as symmetries that machine-learning models on graphs should respect. Namely, the predictions of the model on two matrices that represent the same graph should be consistent. This is a classical idea and the fundamental concept behind the field of geometric deep learning. This project claims that one key factor that determines the computational capabilities of current graph neural networks (GNNs) is the choice of the data representation and its symmetries. Hence, in order to explore new computational capabilities, new ways to express graphs are proposed (called non-canonical representations), with new forms of approximate symmetries (non-canonical symmetries), and corresponding approximately symmetry-preserving GNNs (non-canonical GNNs). The design of these non-canonical GNNs is inspired by applications in social networks, spatiotemporal graphs such as traffic networks, and graphs arising from complex material design. The project includes collaborations with chemical engineers in the application of these models to protein and macromolecule design. In addition, this project will have an impact on many diversity outreach and educational activities, including mentoring Baltimore City public high-school students, and outreach and mentoring efforts targeting groups historically underrepresented in applied mathematics and computer science.
The project will explore the development of novel non-canonical representations, symmetries, and GNNs, as well as their applications. The research activities are divided into three main tasks: (1) The design of a non-canonical representation that expresses any graph as a combination of finitely many intersecting cliques or communities. The goal is to define a scalable representation and efficient data-processing algorithms. Applications to very large graphs, like social networks, will be considered. (2) The development of a procedure for fitting coarse piecewise-constant templates to graphs, using the structure of the templates to design non-canonical GNNs that are sensitive to the large-scale structure of the graph. This method is expected to shine in domains where sensitivity to large scale is important, such as classification of proteins or shapes, molecular dynamics, and predictions on traffic and power networks. (3) The design of methods that exploit symmetries of the graph in the spectral domain. The main applications will be molecular dynamics and spatiotemporal graphs.
This award reflects NSF's statutory mission and has been deemed worthy of support through evaluation using the Foundation's intellectual merit and broader impacts review criteria.</t>
        </is>
      </c>
      <c r="AJ5" s="26" t="inlineStr"/>
    </row>
    <row r="6" ht="18" customHeight="1">
      <c r="A6" s="22" t="inlineStr">
        <is>
          <t>2428598</t>
        </is>
      </c>
      <c r="B6" s="23" t="inlineStr">
        <is>
          <t>Chemical Design and Assembly of 2D Molecular-Atomic Lattice vdW Heterostructures for Quantum Emission</t>
        </is>
      </c>
      <c r="C6" s="22" t="inlineStr">
        <is>
          <t>Standard Grant</t>
        </is>
      </c>
      <c r="D6" s="22" t="inlineStr">
        <is>
          <t>true</t>
        </is>
      </c>
      <c r="E6" s="22" t="inlineStr">
        <is>
          <t>11/25/2024</t>
        </is>
      </c>
      <c r="F6" s="22" t="inlineStr">
        <is>
          <t>01/01/2025</t>
        </is>
      </c>
      <c r="G6" s="22" t="inlineStr">
        <is>
          <t>12/31/2026</t>
        </is>
      </c>
      <c r="H6" s="22" t="inlineStr">
        <is>
          <t>2024</t>
        </is>
      </c>
      <c r="I6" s="24" t="n">
        <v>307752</v>
      </c>
      <c r="J6" s="24" t="n">
        <v>307752</v>
      </c>
      <c r="K6" s="22" t="inlineStr">
        <is>
          <t>Thomas</t>
        </is>
      </c>
      <c r="L6" s="22" t="inlineStr">
        <is>
          <t>Kempa</t>
        </is>
      </c>
      <c r="M6" s="22" t="inlineStr">
        <is>
          <t>tkempa@jhu.edu</t>
        </is>
      </c>
      <c r="N6" s="22" t="inlineStr"/>
      <c r="O6" s="22" t="inlineStr">
        <is>
          <t>Thomas Kempa</t>
        </is>
      </c>
      <c r="P6" s="22" t="inlineStr">
        <is>
          <t>Birgit Schwenzer</t>
        </is>
      </c>
      <c r="Q6" s="22" t="inlineStr">
        <is>
          <t>bschwenz@nsf.gov</t>
        </is>
      </c>
      <c r="R6" s="22" t="inlineStr">
        <is>
          <t>THE JOHNS HOPKINS UNIVERSITY</t>
        </is>
      </c>
      <c r="S6" s="22" t="inlineStr">
        <is>
          <t>BALTIMORE</t>
        </is>
      </c>
      <c r="T6" s="22" t="inlineStr">
        <is>
          <t>MD</t>
        </is>
      </c>
      <c r="U6" s="22" t="inlineStr">
        <is>
          <t>212182608</t>
        </is>
      </c>
      <c r="V6" s="22" t="inlineStr">
        <is>
          <t>FTMTDMBR29C7</t>
        </is>
      </c>
      <c r="W6" s="22" t="inlineStr">
        <is>
          <t>BALTIMORE</t>
        </is>
      </c>
      <c r="X6" s="22" t="inlineStr">
        <is>
          <t>MD</t>
        </is>
      </c>
      <c r="Y6" s="22" t="inlineStr">
        <is>
          <t>MPS</t>
        </is>
      </c>
      <c r="Z6" s="22" t="inlineStr">
        <is>
          <t>DMR</t>
        </is>
      </c>
      <c r="AA6" s="23" t="inlineStr">
        <is>
          <t>SOLID STATE &amp; MATERIALS CHEMIS</t>
        </is>
      </c>
      <c r="AB6" s="22" t="inlineStr">
        <is>
          <t>Microelectronics and Semiconductors, QUANTUM INFORMATION SCIENCE, Clean Energy Technology, Energy Efficiency and End Use</t>
        </is>
      </c>
      <c r="AC6" s="22" t="inlineStr">
        <is>
          <t>176200</t>
        </is>
      </c>
      <c r="AD6" s="22" t="inlineStr">
        <is>
          <t>106Z, 7203, 8396, 8611</t>
        </is>
      </c>
      <c r="AE6" s="22" t="inlineStr">
        <is>
          <t>47.049</t>
        </is>
      </c>
      <c r="AF6" s="22" t="inlineStr">
        <is>
          <t>1</t>
        </is>
      </c>
      <c r="AG6" s="22" t="inlineStr">
        <is>
          <t>11/25/2024</t>
        </is>
      </c>
      <c r="AH6" s="22" t="inlineStr">
        <is>
          <t>11/25/2024</t>
        </is>
      </c>
      <c r="AI6" s="23" t="inlineStr">
        <is>
          <t>Non-Technical Summary:
Quantum materials can be used to address profound challenges in information technology, health, and sustainability. With support from the Solid State and Materials Chemistry program in NSF’s Division of Materials Research, Prof. Thomas Kempa and his group at Johns Hopkins University search for new quantum platforms and focus on using few-atom-thick molecular crystal lattices to manipulate the optical emission properties of two-dimensional (2D) semiconductor layers. An important and unique feature of the quantum materials platform is that the molecular crystal lattice can be chemically modified so that the optical properties of the 2D semiconductor can also be tuned. To build this platform, which could potentially function as a quantum light source, the researchers use chemical design strategies and synthesis of molecular crystal lattices called metal-organic frameworks. They then show how to merge them with 2D semiconductors to yield layered heterostructures. These heterostructures represent a large departure from conventional approaches and could provide a route towards unprecedented materials integration, interface design, and property discovery. These efforts contribute to future quantum technologies that enable more sustainable high-performance computing, more powerful biological and chemical sensors, and more secure communications, all of which serve US national interests. Aside from this, the principal investigator spearheads two outreach efforts intended to educate diverse communities on the practical and ethical impacts of quantum information science, and to educate undergraduate and graduate students how to be more effective communicators of quantitative information through visual media (e.g., slides, figures, simulations).
Technical Summary:
Quantum materials display a host of intriguing phenomena including superconductivity, giant magnetoresistance, spin liquid states, and single photon emission, to name a few. However, despite great progress, much work remains to develop quantum materials that can address profound and growing societal challenges in information technology, health, and sustainability. Prof. Thomas Kempa and his group at Johns Hopkins University present a new material platform on which to elicit and manipulate quantum emission through atomically-precise control of excitons. The material platform is comprised of two-dimensional (2D) metal-organic frameworks (MOFs) layered with 2D transition-metal dichalcogenides (TMDs) creating so-called van der Waals heterostructures. A key feature of the platform is that the 2D MOFs can be chemically tailored to provide periodic potentials with bespoke symmetries, sizes, and strengths. In turn, the interaction of these potentials with a 2D TMD, or other 2D material, can elicit new excitonic phenomena. The research addresses two core objectives focused on (a) chemical design of 2D MOFs with bespoke topology and charge order and (b) assembly of 2D MOFs and 2D TMDs into vdW heterostructures. The proposed vdW heterostructure platform likely represents the first attempt to alter explicitly the exciton landscape within a 2D TMD through a tailored 2D molecular lattice. It also differs markedly from twistronic approaches that elicit moiré potentials, because the strategy Prof. Thomas Kempa and his group use provides for independent, chemically selective control over the potential thereby offering a vast new parameter space for materials integration, interface design, and property discovery. Besides its many intellectual merits, the research has broader impacts by contributing improvements to the performance and sustainability of computing hardware, and by contributing to the education and greater engagement of society with science. The latter impact occurs through two specific outreach efforts: a biannual JHU–Morgan State University “Quantum Computing and Security Workshop” to broaden community awareness of quantum information science, and a freely available training module called “From Data to Impact” that teaches students how to create salient and impactful figures, tables, and graphics.
This award reflects NSF's statutory mission and has been deemed worthy of support through evaluation using the Foundation's intellectual merit and broader impacts review criteria.</t>
        </is>
      </c>
      <c r="AJ6" s="23" t="inlineStr"/>
    </row>
    <row r="7" ht="18" customHeight="1">
      <c r="A7" s="25" t="inlineStr">
        <is>
          <t>2437610</t>
        </is>
      </c>
      <c r="B7" s="26" t="inlineStr">
        <is>
          <t>Planning: CRISES: A Community-Centered Laboratory for the Research and Design of Socially Astute Epidemic Readiness and Response</t>
        </is>
      </c>
      <c r="C7" s="25" t="inlineStr">
        <is>
          <t>Standard Grant</t>
        </is>
      </c>
      <c r="D7" s="25" t="inlineStr">
        <is>
          <t>false</t>
        </is>
      </c>
      <c r="E7" s="25" t="inlineStr">
        <is>
          <t>08/26/2024</t>
        </is>
      </c>
      <c r="F7" s="25" t="inlineStr">
        <is>
          <t>01/01/2025</t>
        </is>
      </c>
      <c r="G7" s="25" t="inlineStr">
        <is>
          <t>02/28/2026</t>
        </is>
      </c>
      <c r="H7" s="25" t="inlineStr">
        <is>
          <t>2024</t>
        </is>
      </c>
      <c r="I7" s="27" t="n">
        <v>100000</v>
      </c>
      <c r="J7" s="27" t="n">
        <v>100000</v>
      </c>
      <c r="K7" s="25" t="inlineStr">
        <is>
          <t>Monica</t>
        </is>
      </c>
      <c r="L7" s="25" t="inlineStr">
        <is>
          <t>Schoch-Spana</t>
        </is>
      </c>
      <c r="M7" s="25" t="inlineStr">
        <is>
          <t>mschoch@jhu.edu</t>
        </is>
      </c>
      <c r="N7" s="25" t="inlineStr">
        <is>
          <t>Stephanie M McClure smcclur1@ua.edu, Stephen B Thomas sbt@umd.edu, Noe C Crespo ncrespo@sdsu.edu</t>
        </is>
      </c>
      <c r="O7" s="25" t="inlineStr">
        <is>
          <t>Monica Schoch-Spana</t>
        </is>
      </c>
      <c r="P7" s="25" t="inlineStr">
        <is>
          <t>Antwan Jones</t>
        </is>
      </c>
      <c r="Q7" s="25" t="inlineStr">
        <is>
          <t>aajones@nsf.gov</t>
        </is>
      </c>
      <c r="R7" s="25" t="inlineStr">
        <is>
          <t>THE JOHNS HOPKINS UNIVERSITY</t>
        </is>
      </c>
      <c r="S7" s="25" t="inlineStr">
        <is>
          <t>BALTIMORE</t>
        </is>
      </c>
      <c r="T7" s="25" t="inlineStr">
        <is>
          <t>MD</t>
        </is>
      </c>
      <c r="U7" s="25" t="inlineStr">
        <is>
          <t>212182608</t>
        </is>
      </c>
      <c r="V7" s="25" t="inlineStr">
        <is>
          <t>FTMTDMBR29C7</t>
        </is>
      </c>
      <c r="W7" s="25" t="inlineStr">
        <is>
          <t>BALTIMORE</t>
        </is>
      </c>
      <c r="X7" s="25" t="inlineStr">
        <is>
          <t>MD</t>
        </is>
      </c>
      <c r="Y7" s="25" t="inlineStr">
        <is>
          <t>SBE</t>
        </is>
      </c>
      <c r="Z7" s="25" t="inlineStr">
        <is>
          <t>SMA</t>
        </is>
      </c>
      <c r="AA7" s="26" t="inlineStr">
        <is>
          <t>CRISES-R&amp;I in Sci, Env&amp;Society</t>
        </is>
      </c>
      <c r="AB7" s="25" t="inlineStr">
        <is>
          <t>SBE Interdisciplinary Research</t>
        </is>
      </c>
      <c r="AC7" s="25" t="inlineStr">
        <is>
          <t>265Y00</t>
        </is>
      </c>
      <c r="AD7" s="25" t="inlineStr">
        <is>
          <t>7956</t>
        </is>
      </c>
      <c r="AE7" s="25" t="inlineStr">
        <is>
          <t>47.075</t>
        </is>
      </c>
      <c r="AF7" s="25" t="inlineStr">
        <is>
          <t>1</t>
        </is>
      </c>
      <c r="AG7" s="25" t="inlineStr">
        <is>
          <t>08/26/2024</t>
        </is>
      </c>
      <c r="AH7" s="25" t="inlineStr">
        <is>
          <t>08/26/2024</t>
        </is>
      </c>
      <c r="AI7" s="26" t="inlineStr">
        <is>
          <t>Hard-to-manage outbreaks of infectious disease are emerging more frequently, and the U.S. requires public health systems that protect populations against the adverse social, economic, political, psychological and physical impacts. This project involves planning for a future academic research center that blends the social and biological sciences with community knowledge to understand and to promote epidemic control strategies that affected communities consider appropriate in terms of core values, feasibility, fairness, and health benefits. Public health experts, a range of social scientists, and community stakeholders will together explore the organizing question, “What infrastructure – including financing, organizations, personnel, processes, and practices – supports epidemic interventions that address the social norms, cultural values, language needs, economic realities, local knowledge, and active participation of socially vulnerable populations?”
With hard-to-manage outbreaks of infectious disease emerging more frequently, the U.S. requires systems that protect populations against adverse social, economic, political, psychological and physical impacts. This project constitutes planning for an academic research center that partners with community stakeholders to advance the understanding, design, and implementation of human-centered infrastructure at the community/public health interface which supports “socially astute” epidemic management. Socially astute describes those epidemic controls that affected communities consider appropriate in terms of core values, feasibility, evenhandedness, and health benefits. The planning activities posit a synthesis between the social and the biological, between problem-solving experts and those who experience the problem in the contexts of their everyday lives. Combining human-centered systems thinking with a community-based participatory research approach, the project asks, “What infrastructure – including social milieu, financing, organizations, personnel, processes, and practices – underpins epidemic interventions that adequately address the social norms, cultural values, language needs, economic realities, local knowledge, and active participation of socially vulnerable populations?” Objectives for a series of planning workshops and community stakeholder consultations are: (1) develop a systems map for socially astute epidemic management infrastructure, including an over-arching narrative and visual depiction; (2) build a “living document” research agenda to propel the research center; and (3) draft an organizational management plan that addresses the center’s human capital needs, trajectory of fundamental and use-inspired research, operationalization of community collaboration, and the translation of research into curricula, internships, trainings, and briefings.
This award reflects NSF's statutory mission and has been deemed worthy of support through evaluation using the Foundation's intellectual merit and broader impacts review criteria.</t>
        </is>
      </c>
      <c r="AJ7" s="26" t="inlineStr"/>
    </row>
    <row r="8" ht="18" customHeight="1">
      <c r="A8" s="22" t="inlineStr">
        <is>
          <t>2412916</t>
        </is>
      </c>
      <c r="B8" s="23" t="inlineStr">
        <is>
          <t>NSF-ANR MCB/PHY SuperTrxn In vitro, in vivo, and in silico investigations of supercoil-mediated transcription regulation in bacteria</t>
        </is>
      </c>
      <c r="C8" s="22" t="inlineStr">
        <is>
          <t>Continuing Grant</t>
        </is>
      </c>
      <c r="D8" s="22" t="inlineStr">
        <is>
          <t>true</t>
        </is>
      </c>
      <c r="E8" s="22" t="inlineStr">
        <is>
          <t>12/20/2024</t>
        </is>
      </c>
      <c r="F8" s="22" t="inlineStr">
        <is>
          <t>01/01/2025</t>
        </is>
      </c>
      <c r="G8" s="22" t="inlineStr">
        <is>
          <t>12/31/2028</t>
        </is>
      </c>
      <c r="H8" s="22" t="inlineStr">
        <is>
          <t>2024</t>
        </is>
      </c>
      <c r="I8" s="24" t="n">
        <v>613800</v>
      </c>
      <c r="J8" s="24" t="n">
        <v>1200000</v>
      </c>
      <c r="K8" s="22" t="inlineStr">
        <is>
          <t>Jie</t>
        </is>
      </c>
      <c r="L8" s="22" t="inlineStr">
        <is>
          <t>Xiao</t>
        </is>
      </c>
      <c r="M8" s="22" t="inlineStr">
        <is>
          <t>xiao@jhmi.edu</t>
        </is>
      </c>
      <c r="N8" s="22" t="inlineStr"/>
      <c r="O8" s="22" t="inlineStr">
        <is>
          <t>Jie Xiao</t>
        </is>
      </c>
      <c r="P8" s="22" t="inlineStr">
        <is>
          <t>Manju Hingorani</t>
        </is>
      </c>
      <c r="Q8" s="22" t="inlineStr">
        <is>
          <t>mhingora@nsf.gov</t>
        </is>
      </c>
      <c r="R8" s="22" t="inlineStr">
        <is>
          <t>THE JOHNS HOPKINS UNIVERSITY</t>
        </is>
      </c>
      <c r="S8" s="22" t="inlineStr">
        <is>
          <t>BALTIMORE</t>
        </is>
      </c>
      <c r="T8" s="22" t="inlineStr">
        <is>
          <t>MD</t>
        </is>
      </c>
      <c r="U8" s="22" t="inlineStr">
        <is>
          <t>212182608</t>
        </is>
      </c>
      <c r="V8" s="22" t="inlineStr">
        <is>
          <t>FTMTDMBR29C7</t>
        </is>
      </c>
      <c r="W8" s="22" t="inlineStr">
        <is>
          <t>Baltimore</t>
        </is>
      </c>
      <c r="X8" s="22" t="inlineStr">
        <is>
          <t>MD</t>
        </is>
      </c>
      <c r="Y8" s="22" t="inlineStr">
        <is>
          <t>BIO</t>
        </is>
      </c>
      <c r="Z8" s="22" t="inlineStr">
        <is>
          <t>MCB</t>
        </is>
      </c>
      <c r="AA8" s="23" t="inlineStr">
        <is>
          <t>Genetic Mechanisms, PHYSICS OF LIVING SYSTEMS, Cross-BIO Activities</t>
        </is>
      </c>
      <c r="AB8" s="22" t="inlineStr">
        <is>
          <t>REU SUPP-Res Exp for Ugrd Supp, FRANCE, NANOSCALE BIO CORE</t>
        </is>
      </c>
      <c r="AC8" s="22" t="inlineStr">
        <is>
          <t>111200, 724600, 727500</t>
        </is>
      </c>
      <c r="AD8" s="22" t="inlineStr">
        <is>
          <t>9251, 5918, 7465</t>
        </is>
      </c>
      <c r="AE8" s="22" t="inlineStr">
        <is>
          <t>47.049, 47.074</t>
        </is>
      </c>
      <c r="AF8" s="22" t="inlineStr">
        <is>
          <t>1</t>
        </is>
      </c>
      <c r="AG8" s="22" t="inlineStr">
        <is>
          <t>12/20/2024</t>
        </is>
      </c>
      <c r="AH8" s="22" t="inlineStr">
        <is>
          <t>08/19/2025</t>
        </is>
      </c>
      <c r="AI8" s="23" t="inlineStr">
        <is>
          <t>This project investigates how supercoiled DNA impacts transcription, a core process of life that converts genetic information encoded in DNA to RNA. Classical models of transcription regulation depict that proteins such as transcription factors bind specific DNA sequences to turn a gene on or off. Recent studies suggest that the mechanics of DNA itself, such as supercoiling, the over- or under-twisting of a double-stranded DNA, can influence how RNA polymerase (RNAP) transcribes RNA. As such, supercoiling could act as a transcription regulator and play a vital role in modulating gene expression in cells. We will examine this hypothesis by performing imaging experiments both inside and outside cells and developing computational models of the process. The work will provide significant knowledge about a new transcription regulation mechanism independent of transcription factor activity. The interdisciplinary nature of the research will also provide excellent research training and teaching opportunities for undergraduate and graduate students. The project will also support participation of Baltimore city public school children in science camps.
The research will (1) characterize how supercoiling impacts transcription kinetics and correlation in vitro using single-molecule imaging of purified protein and DNA constructs; (2) characterize how chromosomal topological domains impact gene expression in vivo using single-molecule fluorescence in situ hybridization (smFISH) and single-molecule gene expression reporters; and (3) model and simulate transcriptional regulation by supercoiling at all molecular and time scales of transcription by combining coarse-grained modeling of DNA base-pairing under torque and data obtained from the experiments. The research is anticipated to yield sensitive transcription kinetics measurements that reveal the temporal dynamics of supercoil-mediated interplay between neighboring RNAP molecules and genes and the impact of chromosomal topological domains on these kinetics and dynamics. The overarching goal is to develop a comprehensive quantitative theoretical framework describing supercoil-mediated transcription regulation, from DNA base-pair energetics to kilobase propagation of supercoils.
This collaborative US/France project is jointly supported by the Genetic Mechanisms program in the Division of Molecular and Cellular Biosciences and the Physics of Living Systems program in the Division of Physics at the US National Science Foundation and the French Agence Nationale de la Recherche, where NSF funds the US investigator and ANR funds the partners in France.”
This award reflects NSF's statutory mission and has been deemed worthy of support through evaluation using the Foundation's intellectual merit and broader impacts review criteria.</t>
        </is>
      </c>
      <c r="AJ8" s="23" t="inlineStr"/>
    </row>
    <row r="9" ht="18" customHeight="1">
      <c r="A9" s="25" t="inlineStr">
        <is>
          <t>2421097</t>
        </is>
      </c>
      <c r="B9" s="26" t="inlineStr">
        <is>
          <t>Collaborative Research: Measuring the East Greenland Coastal Current on the Northeast Greenland Shelf</t>
        </is>
      </c>
      <c r="C9" s="25" t="inlineStr">
        <is>
          <t>Continuing Grant</t>
        </is>
      </c>
      <c r="D9" s="25" t="inlineStr">
        <is>
          <t>true</t>
        </is>
      </c>
      <c r="E9" s="25" t="inlineStr">
        <is>
          <t>11/21/2024</t>
        </is>
      </c>
      <c r="F9" s="25" t="inlineStr">
        <is>
          <t>12/01/2024</t>
        </is>
      </c>
      <c r="G9" s="25" t="inlineStr">
        <is>
          <t>11/30/2028</t>
        </is>
      </c>
      <c r="H9" s="25" t="inlineStr">
        <is>
          <t>2024</t>
        </is>
      </c>
      <c r="I9" s="27" t="n">
        <v>451779</v>
      </c>
      <c r="J9" s="27" t="n">
        <v>612444</v>
      </c>
      <c r="K9" s="25" t="inlineStr">
        <is>
          <t>Thomas</t>
        </is>
      </c>
      <c r="L9" s="25" t="inlineStr">
        <is>
          <t>Haine</t>
        </is>
      </c>
      <c r="M9" s="25" t="inlineStr">
        <is>
          <t>Thomas.Haine@jhu.edu</t>
        </is>
      </c>
      <c r="N9" s="25" t="inlineStr"/>
      <c r="O9" s="25" t="inlineStr">
        <is>
          <t>Thomas Haine</t>
        </is>
      </c>
      <c r="P9" s="25" t="inlineStr">
        <is>
          <t>Baris Uz</t>
        </is>
      </c>
      <c r="Q9" s="25" t="inlineStr">
        <is>
          <t>bmuz@nsf.gov</t>
        </is>
      </c>
      <c r="R9" s="25" t="inlineStr">
        <is>
          <t>THE JOHNS HOPKINS UNIVERSITY</t>
        </is>
      </c>
      <c r="S9" s="25" t="inlineStr">
        <is>
          <t>BALTIMORE</t>
        </is>
      </c>
      <c r="T9" s="25" t="inlineStr">
        <is>
          <t>MD</t>
        </is>
      </c>
      <c r="U9" s="25" t="inlineStr">
        <is>
          <t>212182608</t>
        </is>
      </c>
      <c r="V9" s="25" t="inlineStr">
        <is>
          <t>FTMTDMBR29C7</t>
        </is>
      </c>
      <c r="W9" s="25" t="inlineStr">
        <is>
          <t>BALTIMORE</t>
        </is>
      </c>
      <c r="X9" s="25" t="inlineStr">
        <is>
          <t>MD</t>
        </is>
      </c>
      <c r="Y9" s="25" t="inlineStr">
        <is>
          <t>GEO</t>
        </is>
      </c>
      <c r="Z9" s="25" t="inlineStr">
        <is>
          <t>OCE</t>
        </is>
      </c>
      <c r="AA9" s="26" t="inlineStr">
        <is>
          <t>PHYSICAL OCEANOGRAPHY</t>
        </is>
      </c>
      <c r="AB9" s="25" t="inlineStr">
        <is>
          <t>PHYSICAL OCEANOGRAPHY, CLIMATE VARIABILITY AND PREDICTABILITY</t>
        </is>
      </c>
      <c r="AC9" s="25" t="inlineStr">
        <is>
          <t>161000</t>
        </is>
      </c>
      <c r="AD9" s="25" t="inlineStr">
        <is>
          <t>1610, 1324</t>
        </is>
      </c>
      <c r="AE9" s="25" t="inlineStr">
        <is>
          <t>47.050</t>
        </is>
      </c>
      <c r="AF9" s="25" t="inlineStr">
        <is>
          <t>1</t>
        </is>
      </c>
      <c r="AG9" s="25" t="inlineStr">
        <is>
          <t>11/21/2024</t>
        </is>
      </c>
      <c r="AH9" s="25" t="inlineStr">
        <is>
          <t>09/10/2025</t>
        </is>
      </c>
      <c r="AI9" s="26" t="inlineStr">
        <is>
          <t>This project seeks to answer the question how much fresh (low salinity) water is carried from the Arctic Ocean along the East Greenland Coast into the North Atlantic Ocean and how much this transport may vary as more of the Greenland and Arctic ice sheets melt. For this purpose, an array of six moorings is to be deployed on the Northeast Greenland Shelf to make continuous measurements of temperature, salinity, and current velocities. An exciting new feature of this array includes a variable ballast buoy at the top of one of the moorings, the one closest to the coast, that allows measurements to be made all the way to the ocean surface when the region is ice free, but that prohibits collision of the instruments with sea-ice or icebergs in winter by keeping the mooring line below the ice then. The mooring observations are to be complemented by a modeling study that estimates how the East Greenland Coastal Current evolves over longer time scales. A collaboration with European partners who have a similar mooring array in deeper waters further offshore allows to examine the spatial extent of the current system. Together these efforts will fill a critical gap in our understanding of Arctic-Subarctic exchange, and results will be applicable to a range of scientific fields beyond physical oceanography including climate science, marine biogeochemistry, and fisheries management, among others. 
The oceanic circulation of the high-latitude North Atlantic is a critical component of our climate system and is potentially sensitive to the release of fresh, surface waters from the Greenland Ice Sheet and the Arctic Ocean. A large gap exists in our monitoring of this freshwater input on the Northeast Greenland Shelf (NEGS). This gap will be filled by measuring the southward-flowing East Greenland Coastal Current (EGCC) on the NEGS for the first time with continuous, direct measurements over an entire year. Based on existing data from summer shipboard sections and satellites, it is hypothesized that the freshwater transport in the EGCC is as strong as the freshwater transport of the better known East Greenland Current (EGC) further offshore at the shelf break. If true, the EGCC would be a major contributor to the total freshwater budget of the Arctic and a key player in Arctic-Subarctic exchange. In addition to the mooring array, it will be analyzed how these data fit into the larger scale NEGS circulation using model simulations, reanalysis products, and satellite data. The new ice-avoiding buoy technology that is to be developed as part of this project has the potential to be widely applicable to a range of environments and is significantly more cost-effective than other similar products. Results from this project will: (1) quantify the volume, heat, and freshwater transports of the EGCC on the NEGS, (2) compare these transports to those of the EGC measured by European partners, (3) identify the physical drivers of transport variability in the EGCC, and (4) assess the long-term variability of the EGCC and its role in the Arctic freshwater budget.
This award reflects NSF's statutory mission and has been deemed worthy of support through evaluation using the Foundation's intellectual merit and broader impacts review criteria.</t>
        </is>
      </c>
      <c r="AJ9" s="26" t="inlineStr"/>
    </row>
    <row r="10" ht="18" customHeight="1">
      <c r="A10" s="22" t="inlineStr">
        <is>
          <t>2502676</t>
        </is>
      </c>
      <c r="B10" s="23" t="inlineStr">
        <is>
          <t>Collaborative Research: Deformation Mechanisms in Microstructurally Tailored High Strength Alloys Near the Ideal Limit</t>
        </is>
      </c>
      <c r="C10" s="22" t="inlineStr">
        <is>
          <t>Standard Grant</t>
        </is>
      </c>
      <c r="D10" s="22" t="inlineStr">
        <is>
          <t>true</t>
        </is>
      </c>
      <c r="E10" s="22" t="inlineStr">
        <is>
          <t>11/13/2024</t>
        </is>
      </c>
      <c r="F10" s="22" t="inlineStr">
        <is>
          <t>11/15/2024</t>
        </is>
      </c>
      <c r="G10" s="22" t="inlineStr">
        <is>
          <t>07/31/2026</t>
        </is>
      </c>
      <c r="H10" s="22" t="inlineStr">
        <is>
          <t>2024</t>
        </is>
      </c>
      <c r="I10" s="24" t="n">
        <v>355939</v>
      </c>
      <c r="J10" s="24" t="n">
        <v>420000</v>
      </c>
      <c r="K10" s="22" t="inlineStr">
        <is>
          <t>Timothy</t>
        </is>
      </c>
      <c r="L10" s="22" t="inlineStr">
        <is>
          <t>Rupert</t>
        </is>
      </c>
      <c r="M10" s="22" t="inlineStr">
        <is>
          <t>tim.rupert@jhu.edu</t>
        </is>
      </c>
      <c r="N10" s="22" t="inlineStr"/>
      <c r="O10" s="22" t="inlineStr">
        <is>
          <t>Timothy J Rupert</t>
        </is>
      </c>
      <c r="P10" s="22" t="inlineStr">
        <is>
          <t>Jonathan Madison</t>
        </is>
      </c>
      <c r="Q10" s="22" t="inlineStr">
        <is>
          <t>jmadison@nsf.gov</t>
        </is>
      </c>
      <c r="R10" s="22" t="inlineStr">
        <is>
          <t>THE JOHNS HOPKINS UNIVERSITY</t>
        </is>
      </c>
      <c r="S10" s="22" t="inlineStr">
        <is>
          <t>BALTIMORE</t>
        </is>
      </c>
      <c r="T10" s="22" t="inlineStr">
        <is>
          <t>MD</t>
        </is>
      </c>
      <c r="U10" s="22" t="inlineStr">
        <is>
          <t>212182608</t>
        </is>
      </c>
      <c r="V10" s="22" t="inlineStr">
        <is>
          <t>FTMTDMBR29C7</t>
        </is>
      </c>
      <c r="W10" s="22" t="inlineStr">
        <is>
          <t>BALTIMORE</t>
        </is>
      </c>
      <c r="X10" s="22" t="inlineStr">
        <is>
          <t>MD</t>
        </is>
      </c>
      <c r="Y10" s="22" t="inlineStr">
        <is>
          <t>MPS</t>
        </is>
      </c>
      <c r="Z10" s="22" t="inlineStr">
        <is>
          <t>DMR</t>
        </is>
      </c>
      <c r="AA10" s="23" t="inlineStr">
        <is>
          <t>METAL &amp; METALLIC NANOSTRUCTURE</t>
        </is>
      </c>
      <c r="AB10" s="22" t="inlineStr">
        <is>
          <t>(MGI) Materials Genome Initiative, Materials Data, NANO NON-SOLIC SCI &amp; ENG AWD, CDS&amp;E, Nanomaterials</t>
        </is>
      </c>
      <c r="AC10" s="22" t="inlineStr">
        <is>
          <t>177100</t>
        </is>
      </c>
      <c r="AD10" s="22" t="inlineStr">
        <is>
          <t>054Z, 094Z, 7237, 8084, 8614</t>
        </is>
      </c>
      <c r="AE10" s="22" t="inlineStr">
        <is>
          <t>47.049</t>
        </is>
      </c>
      <c r="AF10" s="22" t="inlineStr">
        <is>
          <t>1</t>
        </is>
      </c>
      <c r="AG10" s="22" t="inlineStr">
        <is>
          <t>11/13/2024</t>
        </is>
      </c>
      <c r="AH10" s="22" t="inlineStr">
        <is>
          <t>11/13/2024</t>
        </is>
      </c>
      <c r="AI10" s="23" t="inlineStr">
        <is>
          <t>NON-TECHNICAL DESCRIPTION: 
Materials with higher and higher strengths are often the target of materials scientists for structural engineering applications – stronger materials enable safer structures as well as lightweighting for more energy-efficient transportation. Several pathways are available for enhancing strength through control over defects in the material.  However, efforts to-date have failed to bring material strengths anywhere near the holy grail of strengthening, referred to as the ideal strength. This failure has not come from a lack of materials engineering, nor would innovations in materials design or processing immediately solve the problem. Instead, prior approaches have been too limited in scope from the viewpoint of the material’s deformation physics, which is addressed in this research by considering novel design pathways for controlling material structure and, in turn, the defects that govern strength. The findings of this project are applicable to advanced materials with increased chemical complexity, which are desired for modern engineering applications. An interactive online learning module transcending traditional institutional barriers – denoted the Mechanics Interactive Teaming (MINT) initiative in engineering education – is being developed to engage students cooperatively at the partnering universities with new virtual learning modules focused on cutting-edge topics in materials science. The initial focus on graduate curricula is being broadened to reach undergraduates through the Women in Science and Engineering Program at Stony Brook University and further expanded for working professionals using relevant design problems through collaboration with the Advanced Casting Research Center at UC Irvine.
TECHNICAL DESCRIPTION: 
This research enables materials with near-ideal strength by developing a fundamental understanding of dislocation nucleation and propagation as rate-limiting deformation mechanisms in nanostructured alloys where defect confinement and interaction with grain boundary and lattice solutes act as local barriers to plasticity. Specific research questions to be answered include: (i) what are the important transition states and associated energy barriers for dislocation nucleation at solute-decorated interfaces and for propagation within a nanoscale alloy crystal, (ii) how does interfacial structure and energy variation upon doping alter dislocation nucleation/propagation, and (iii) how do solute atoms inside the grain, which can potentially act as local pinning points but also alter the properties of the lattice, influence dislocation propagation? A practical hypothesis of this research is that the strength of nanocrystalline alloys can be maximized by synergistic doping to stabilize the grain boundaries against local plasticity and delay defect nucleation while simultaneously inhibiting dislocation propagation through the nanograin interiors. Using a combination of atomistic modeling, multi-modal structural characterization, and unique micromechanical testing, this hypothesis is being tested in nanostructured aluminum and copper alloys, where their intrinsically different stacking fault energies will provide access to different confined slip events. In a broad sense, this research will define new strengthening paradigms in nanoengineered metallic materials and establish the mechanistic underpinnings of solute-biased interfacial energy landscapes for understanding fundamental dislocation physics in confined slip environments.
This award reflects NSF's statutory mission and has been deemed worthy of support through evaluation using the Foundation's intellectual merit and broader impacts review criteria.</t>
        </is>
      </c>
      <c r="AJ10" s="23" t="inlineStr"/>
    </row>
    <row r="11" ht="18" customHeight="1">
      <c r="A11" s="25" t="inlineStr">
        <is>
          <t>2431665</t>
        </is>
      </c>
      <c r="B11" s="26" t="inlineStr">
        <is>
          <t>Collaborative Research: CEDAR--Effects of Ionospheric Density Irregularities on High-Frequency Radio Wave Propagation</t>
        </is>
      </c>
      <c r="C11" s="25" t="inlineStr">
        <is>
          <t>Standard Grant</t>
        </is>
      </c>
      <c r="D11" s="25" t="inlineStr">
        <is>
          <t>true</t>
        </is>
      </c>
      <c r="E11" s="25" t="inlineStr">
        <is>
          <t>08/09/2024</t>
        </is>
      </c>
      <c r="F11" s="25" t="inlineStr">
        <is>
          <t>11/01/2024</t>
        </is>
      </c>
      <c r="G11" s="25" t="inlineStr">
        <is>
          <t>10/31/2027</t>
        </is>
      </c>
      <c r="H11" s="25" t="inlineStr">
        <is>
          <t>2024</t>
        </is>
      </c>
      <c r="I11" s="27" t="n">
        <v>141789</v>
      </c>
      <c r="J11" s="27" t="n">
        <v>141789</v>
      </c>
      <c r="K11" s="25" t="inlineStr">
        <is>
          <t>Simon</t>
        </is>
      </c>
      <c r="L11" s="25" t="inlineStr">
        <is>
          <t>Wing</t>
        </is>
      </c>
      <c r="M11" s="25" t="inlineStr">
        <is>
          <t>simon.wing@jhuapl.edu</t>
        </is>
      </c>
      <c r="N11" s="25" t="inlineStr"/>
      <c r="O11" s="25" t="inlineStr">
        <is>
          <t>Simon Wing</t>
        </is>
      </c>
      <c r="P11" s="25" t="inlineStr">
        <is>
          <t>Shikha Raizada</t>
        </is>
      </c>
      <c r="Q11" s="25" t="inlineStr">
        <is>
          <t>sraizada@nsf.gov</t>
        </is>
      </c>
      <c r="R11" s="25" t="inlineStr">
        <is>
          <t>THE JOHNS HOPKINS UNIVERSITY</t>
        </is>
      </c>
      <c r="S11" s="25" t="inlineStr">
        <is>
          <t>BALTIMORE</t>
        </is>
      </c>
      <c r="T11" s="25" t="inlineStr">
        <is>
          <t>MD</t>
        </is>
      </c>
      <c r="U11" s="25" t="inlineStr">
        <is>
          <t>212182608</t>
        </is>
      </c>
      <c r="V11" s="25" t="inlineStr">
        <is>
          <t>FTMTDMBR29C7</t>
        </is>
      </c>
      <c r="W11" s="25" t="inlineStr">
        <is>
          <t>Laurel</t>
        </is>
      </c>
      <c r="X11" s="25" t="inlineStr">
        <is>
          <t>MD</t>
        </is>
      </c>
      <c r="Y11" s="25" t="inlineStr">
        <is>
          <t>GEO</t>
        </is>
      </c>
      <c r="Z11" s="25" t="inlineStr">
        <is>
          <t>AGS</t>
        </is>
      </c>
      <c r="AA11" s="26" t="inlineStr">
        <is>
          <t>AERONOMY</t>
        </is>
      </c>
      <c r="AB11" s="25" t="inlineStr"/>
      <c r="AC11" s="25" t="inlineStr">
        <is>
          <t>152100</t>
        </is>
      </c>
      <c r="AD11" s="25" t="inlineStr"/>
      <c r="AE11" s="25" t="inlineStr">
        <is>
          <t>47.050</t>
        </is>
      </c>
      <c r="AF11" s="25" t="inlineStr">
        <is>
          <t>1</t>
        </is>
      </c>
      <c r="AG11" s="25" t="inlineStr">
        <is>
          <t>08/09/2024</t>
        </is>
      </c>
      <c r="AH11" s="25" t="inlineStr">
        <is>
          <t>08/09/2024</t>
        </is>
      </c>
      <c r="AI11" s="26" t="inlineStr">
        <is>
          <t>High-frequency (HF, 3–30 MHz) radio waves play a significant role in long-distance communications. They have applications in short-wave international broadcasting and communications by aircraft, military operations, and amateur radio operators and are useful during emergency situations. HF radio wave communication is possible through wave reflection and refraction in the ionosphere, which is part of the upper atmosphere at 100-2000 km altitude. The project aims at investigating the effect of the ionospheric density fluctuations on the propagation of HF radio waves, and the results of this project are expected to improve understanding of ground HF communications.  This research will provide opportunities to under-represented communities in STEM areas at a minority serving institution. The effort is being led by a woman scientist and involves several early career scientists. The project integrates research into the Ham Radio Science Citizen Investigation program to investigate the effects of disturbances on HF communication. The results will be widely distributed and of significant interest to various groups, including amateur radio enthusiasts, emergency services, airlines, maritime organizations, and defense users.
The research work will investigate the effect of ionospheric density fluctuations on HF wave propagation.  Since solar and geomagnetic activities significantly influence the ionosphere, HF radio communications are also sensitive to space weather. The project will address three scientific questions: (a) How are ground HF communications affected by different solar and geomagnetic activities? (b) How do small-scale density irregularities appear in various space weather conditions? (c) How do HF waves propagate through the irregular density profile?; and finally (d) How does space weather affect small-scale density irregularities and ground HF communications?. To achieve these goals, researchers will utilize satellite, HF amateur radio communication data sets, and will perform full-wave simulations using advanced finite element method (FEM) code, Petra-M by adopting a realistic density fluctuation profile.  By comparing the predicted wave properties from the Petra-M code with the observed HF communications, it will be possible to evaluate how well the model simulates real-life conditions while providing new insight into how the HF radio waves propagate through ionospheric irregularities.
This award reflects NSF's statutory mission and has been deemed worthy of support through evaluation using the Foundation's intellectual merit and broader impacts review criteria.</t>
        </is>
      </c>
      <c r="AJ11" s="26" t="inlineStr"/>
    </row>
    <row r="12" ht="18" customHeight="1">
      <c r="A12" s="22" t="inlineStr">
        <is>
          <t>2436738</t>
        </is>
      </c>
      <c r="B12" s="23" t="inlineStr">
        <is>
          <t>FDT-BioTech:CARDIT: Cardiac Digital Twins; but better!</t>
        </is>
      </c>
      <c r="C12" s="22" t="inlineStr">
        <is>
          <t>Standard Grant</t>
        </is>
      </c>
      <c r="D12" s="22" t="inlineStr">
        <is>
          <t>true</t>
        </is>
      </c>
      <c r="E12" s="22" t="inlineStr">
        <is>
          <t>08/29/2024</t>
        </is>
      </c>
      <c r="F12" s="22" t="inlineStr">
        <is>
          <t>11/01/2024</t>
        </is>
      </c>
      <c r="G12" s="22" t="inlineStr">
        <is>
          <t>10/31/2027</t>
        </is>
      </c>
      <c r="H12" s="22" t="inlineStr">
        <is>
          <t>2024</t>
        </is>
      </c>
      <c r="I12" s="24" t="n">
        <v>997770</v>
      </c>
      <c r="J12" s="24" t="n">
        <v>997770</v>
      </c>
      <c r="K12" s="22" t="inlineStr">
        <is>
          <t>Mauro</t>
        </is>
      </c>
      <c r="L12" s="22" t="inlineStr">
        <is>
          <t>Maggioni</t>
        </is>
      </c>
      <c r="M12" s="22" t="inlineStr">
        <is>
          <t>mauro.maggioni@jhu.edu</t>
        </is>
      </c>
      <c r="N12" s="22" t="inlineStr">
        <is>
          <t>Natalia Trayanova ntrayanova@jhu.edu, DIMITRIOS GIOVANIS dgiovan1@jhu.edu, Somdatta Goswami sgoswam4@jhu.edu, Mauro Maggioni (Former) mauro.maggioni@jhu.edu</t>
        </is>
      </c>
      <c r="O12" s="22" t="inlineStr">
        <is>
          <t>Mauro Maggioni</t>
        </is>
      </c>
      <c r="P12" s="22" t="inlineStr">
        <is>
          <t>Zhilan Feng</t>
        </is>
      </c>
      <c r="Q12" s="22" t="inlineStr">
        <is>
          <t>zfeng@nsf.gov</t>
        </is>
      </c>
      <c r="R12" s="22" t="inlineStr">
        <is>
          <t>THE JOHNS HOPKINS UNIVERSITY</t>
        </is>
      </c>
      <c r="S12" s="22" t="inlineStr">
        <is>
          <t>BALTIMORE</t>
        </is>
      </c>
      <c r="T12" s="22" t="inlineStr">
        <is>
          <t>MD</t>
        </is>
      </c>
      <c r="U12" s="22" t="inlineStr">
        <is>
          <t>212182608</t>
        </is>
      </c>
      <c r="V12" s="22" t="inlineStr">
        <is>
          <t>FTMTDMBR29C7</t>
        </is>
      </c>
      <c r="W12" s="22" t="inlineStr">
        <is>
          <t>BALTIMORE</t>
        </is>
      </c>
      <c r="X12" s="22" t="inlineStr">
        <is>
          <t>MD</t>
        </is>
      </c>
      <c r="Y12" s="22" t="inlineStr">
        <is>
          <t>MPS</t>
        </is>
      </c>
      <c r="Z12" s="22" t="inlineStr">
        <is>
          <t>DMS</t>
        </is>
      </c>
      <c r="AA12" s="23" t="inlineStr">
        <is>
          <t>OFFICE OF MULTIDISCIPLINARY AC, MSPA-INTERDISCIPLINARY</t>
        </is>
      </c>
      <c r="AB12" s="22" t="inlineStr">
        <is>
          <t>Machine Learning Theory, Biotechnology</t>
        </is>
      </c>
      <c r="AC12" s="22" t="inlineStr">
        <is>
          <t>125300, 745400</t>
        </is>
      </c>
      <c r="AD12" s="22" t="inlineStr">
        <is>
          <t>079Z, 8038</t>
        </is>
      </c>
      <c r="AE12" s="22" t="inlineStr">
        <is>
          <t>47.049</t>
        </is>
      </c>
      <c r="AF12" s="22" t="inlineStr">
        <is>
          <t>1</t>
        </is>
      </c>
      <c r="AG12" s="22" t="inlineStr">
        <is>
          <t>08/29/2024</t>
        </is>
      </c>
      <c r="AH12" s="22" t="inlineStr">
        <is>
          <t>10/16/2024</t>
        </is>
      </c>
      <c r="AI12" s="23" t="inlineStr">
        <is>
          <t>Sudden cardiac death (SCD) remains a leading cause of mortality worldwide, with an incidence ranging from 50 to 100 per 100,000 people in the general population of Europe and North America. SCD accounts for 15-20% of all deaths. Despite advancements in medical science, accurately assessing the individualized risk of SCD remains a significant unmet clinical need. Digital twins of hearts offer a powerful tool for personalized medical care, enabling data-informed decision-making under uncertainty, that is crucial for early identification and prevention of heart conditions. However, even the most advanced state-of-the-art digital twin models contain systematic errors due to our incomplete understanding of human biology, the limited availability and quality of patient data, and the inherent uncertainties present in the models.  The primary goal of this research project is not to build the perfect cardiac digital twin, but rather to make the best currently achievable digital twin of a patient’s heart better by reliably transforming it to the truth (data). Beyond the scientific findings, this research will be incorporated into educational and outreach programs designed to attract underrepresented groups to engineering and enhance undergraduate and graduate education in biomedical engineering and applied mathematics.
The project employs novel, scalable, and data-driven mathematical/algorithmic calibration tools, that combine mathematics, scientific computation, and machine learning to account for the biological variability of individual patients. The approach will not involve adding more physics or biology to the cardiac digital twin model, or increasing the resolution of the digital twins’ spatial discretization; what is sought, rather, is identifying and mathematically correcting any deviations (model errors) in the current cardiac digital twin using available data and numerical analysis-inspired machine learning algorithms. These tools will reduce the simulation time required to inform clinical intervention (ablation) in patients with cardiomyopathy, and will hopefully broadly enhance the predictive capabilities and utility of digital twins across various application domains beyond our cardiac-focused effort. The outcomes of this study are expected to fundamentally advance the use of cardiac digital twins in clinical practice and lay a foundation for studying the risk of sudden death for patients with ischemic and nonischemic cardiomyopathy.
This award reflects NSF's statutory mission and has been deemed worthy of support through evaluation using the Foundation's intellectual merit and broader impacts review criteria.</t>
        </is>
      </c>
      <c r="AJ12" s="23" t="inlineStr"/>
    </row>
    <row r="13" ht="18" customHeight="1">
      <c r="A13" s="25" t="inlineStr">
        <is>
          <t>2427621</t>
        </is>
      </c>
      <c r="B13" s="26" t="inlineStr">
        <is>
          <t>Periplasmic Chaperone Network Organization and Mechanism</t>
        </is>
      </c>
      <c r="C13" s="25" t="inlineStr">
        <is>
          <t>Standard Grant</t>
        </is>
      </c>
      <c r="D13" s="25" t="inlineStr">
        <is>
          <t>true</t>
        </is>
      </c>
      <c r="E13" s="25" t="inlineStr">
        <is>
          <t>08/07/2024</t>
        </is>
      </c>
      <c r="F13" s="25" t="inlineStr">
        <is>
          <t>10/01/2024</t>
        </is>
      </c>
      <c r="G13" s="25" t="inlineStr">
        <is>
          <t>09/30/2028</t>
        </is>
      </c>
      <c r="H13" s="25" t="inlineStr">
        <is>
          <t>2024</t>
        </is>
      </c>
      <c r="I13" s="27" t="n">
        <v>1320970</v>
      </c>
      <c r="J13" s="27" t="n">
        <v>1320970</v>
      </c>
      <c r="K13" s="25" t="inlineStr">
        <is>
          <t>Karen</t>
        </is>
      </c>
      <c r="L13" s="25" t="inlineStr">
        <is>
          <t>Fleming</t>
        </is>
      </c>
      <c r="M13" s="25" t="inlineStr">
        <is>
          <t>karen.fleming@jhu.edu</t>
        </is>
      </c>
      <c r="N13" s="25" t="inlineStr"/>
      <c r="O13" s="25" t="inlineStr">
        <is>
          <t>Karen G Fleming</t>
        </is>
      </c>
      <c r="P13" s="25" t="inlineStr">
        <is>
          <t>Wilson Francisco</t>
        </is>
      </c>
      <c r="Q13" s="25" t="inlineStr">
        <is>
          <t>wfrancis@nsf.gov</t>
        </is>
      </c>
      <c r="R13" s="25" t="inlineStr">
        <is>
          <t>THE JOHNS HOPKINS UNIVERSITY</t>
        </is>
      </c>
      <c r="S13" s="25" t="inlineStr">
        <is>
          <t>BALTIMORE</t>
        </is>
      </c>
      <c r="T13" s="25" t="inlineStr">
        <is>
          <t>MD</t>
        </is>
      </c>
      <c r="U13" s="25" t="inlineStr">
        <is>
          <t>212182608</t>
        </is>
      </c>
      <c r="V13" s="25" t="inlineStr">
        <is>
          <t>FTMTDMBR29C7</t>
        </is>
      </c>
      <c r="W13" s="25" t="inlineStr">
        <is>
          <t>BALTIMORE</t>
        </is>
      </c>
      <c r="X13" s="25" t="inlineStr">
        <is>
          <t>MD</t>
        </is>
      </c>
      <c r="Y13" s="25" t="inlineStr">
        <is>
          <t>BIO</t>
        </is>
      </c>
      <c r="Z13" s="25" t="inlineStr">
        <is>
          <t>MCB</t>
        </is>
      </c>
      <c r="AA13" s="26" t="inlineStr">
        <is>
          <t>Molecular Biophysics, Cross-BIO Activities</t>
        </is>
      </c>
      <c r="AB13" s="25" t="inlineStr">
        <is>
          <t>NANOSCALE BIO CORE, GRADUATE INVOLVEMENT, REU SUPP-Res Exp for Ugrd Supp</t>
        </is>
      </c>
      <c r="AC13" s="25" t="inlineStr">
        <is>
          <t>114400, 727500</t>
        </is>
      </c>
      <c r="AD13" s="25" t="inlineStr">
        <is>
          <t>7465, 9179, 9251</t>
        </is>
      </c>
      <c r="AE13" s="25" t="inlineStr">
        <is>
          <t>47.074</t>
        </is>
      </c>
      <c r="AF13" s="25" t="inlineStr">
        <is>
          <t>1</t>
        </is>
      </c>
      <c r="AG13" s="25" t="inlineStr">
        <is>
          <t>08/07/2024</t>
        </is>
      </c>
      <c r="AH13" s="25" t="inlineStr">
        <is>
          <t>08/07/2024</t>
        </is>
      </c>
      <c r="AI13" s="26" t="inlineStr">
        <is>
          <t>This proposal seeks unifying physical principles that define rules of life in bacteria, which are among the most abundant forms of life on earth. The research addresses the essential process of bacterial cell surface formation in these organisms. It will serve as a roadmap for how cell surface formation may occur in evolutionary related systems in higher life forms. The broader impacts include the intellectual power of connecting physical observations to principles of life, and the research activities benefit society at large through novel insights about living systems. The work offers meaningful opportunities for undergraduate research experiences and trains graduate students in multidisciplinary approaches to science. The outcome from these efforts will be the training of diverse and creative investigators that will increase creativity and productivity in the STEM fields in our country. 
The periplasm of Gram-negative bacteria is devoid of an external energy source to achieve sorting and folding of the membrane proteins that are found in their outer membranes. The research interrogates how this process is achieved solely through thermal energy, thermodynamic binding potentials, kinetic on- and off-rates and local cellular expression levels of the periplasmic chaperones. This research will interrogate the periplasmic protein interaction network using a multi-scale approach that will include structural measurements of key binding events, solution conformation determinations and calculations of unfolded membrane protein reactants, computational modeling of experimental data, and cellular localization and dynamics experiments in vivo. The results of this research will be integrated into a global, systems-wide understanding of the chaperone network in the bacterial periplasm. This project is funded by the Molecular Biophysics Cluster in the Division of Molecular and Cellular Sciences
This award reflects NSF's statutory mission and has been deemed worthy of support through evaluation using the Foundation's intellectual merit and broader impacts review criteria.</t>
        </is>
      </c>
      <c r="AJ13" s="26" t="inlineStr"/>
    </row>
    <row r="14" ht="18" customHeight="1">
      <c r="A14" s="22" t="inlineStr">
        <is>
          <t>2431342</t>
        </is>
      </c>
      <c r="B14" s="23" t="inlineStr">
        <is>
          <t>CIVIC-PG Track A: Machine Learning Approaches to Improve Resilience of Water Utilities to Extreme Weather Events</t>
        </is>
      </c>
      <c r="C14" s="22" t="inlineStr">
        <is>
          <t>Standard Grant</t>
        </is>
      </c>
      <c r="D14" s="22" t="inlineStr">
        <is>
          <t>false</t>
        </is>
      </c>
      <c r="E14" s="22" t="inlineStr">
        <is>
          <t>08/13/2024</t>
        </is>
      </c>
      <c r="F14" s="22" t="inlineStr">
        <is>
          <t>10/01/2024</t>
        </is>
      </c>
      <c r="G14" s="22" t="inlineStr">
        <is>
          <t>03/31/2025</t>
        </is>
      </c>
      <c r="H14" s="22" t="inlineStr">
        <is>
          <t>2024</t>
        </is>
      </c>
      <c r="I14" s="24" t="n">
        <v>75000</v>
      </c>
      <c r="J14" s="24" t="n">
        <v>75000</v>
      </c>
      <c r="K14" s="22" t="inlineStr">
        <is>
          <t>Yinzhi</t>
        </is>
      </c>
      <c r="L14" s="22" t="inlineStr">
        <is>
          <t>Cao</t>
        </is>
      </c>
      <c r="M14" s="22" t="inlineStr">
        <is>
          <t>ycao43@jhu.edu</t>
        </is>
      </c>
      <c r="N14" s="22" t="inlineStr">
        <is>
          <t>Tamim Sookoor tamim.sookoor@jhuapl.edu, Yinzhi Cao (Former) ycao43@jhu.edu</t>
        </is>
      </c>
      <c r="O14" s="22" t="inlineStr">
        <is>
          <t>Yinzhi Cao</t>
        </is>
      </c>
      <c r="P14" s="22" t="inlineStr">
        <is>
          <t>Alexandra Medina-Borja</t>
        </is>
      </c>
      <c r="Q14" s="22" t="inlineStr">
        <is>
          <t>amedinab@nsf.gov</t>
        </is>
      </c>
      <c r="R14" s="22" t="inlineStr">
        <is>
          <t>THE JOHNS HOPKINS UNIVERSITY</t>
        </is>
      </c>
      <c r="S14" s="22" t="inlineStr">
        <is>
          <t>BALTIMORE</t>
        </is>
      </c>
      <c r="T14" s="22" t="inlineStr">
        <is>
          <t>MD</t>
        </is>
      </c>
      <c r="U14" s="22" t="inlineStr">
        <is>
          <t>212182608</t>
        </is>
      </c>
      <c r="V14" s="22" t="inlineStr">
        <is>
          <t>FTMTDMBR29C7</t>
        </is>
      </c>
      <c r="W14" s="22" t="inlineStr">
        <is>
          <t>Laurel</t>
        </is>
      </c>
      <c r="X14" s="22" t="inlineStr">
        <is>
          <t>MD</t>
        </is>
      </c>
      <c r="Y14" s="22" t="inlineStr">
        <is>
          <t>ENG</t>
        </is>
      </c>
      <c r="Z14" s="22" t="inlineStr">
        <is>
          <t>CMMI</t>
        </is>
      </c>
      <c r="AA14" s="23" t="inlineStr">
        <is>
          <t>S&amp;CC: Smart &amp; Connected Commun</t>
        </is>
      </c>
      <c r="AB14" s="22" t="inlineStr">
        <is>
          <t>HAZARD AND DISASTER REDUCTION, CAS-Critical Aspects of Sustainability, CIVIL INFRASTRUCTURE, CIVIL INFRASTRUCTURE, HAZARD AND DISASTER RESPONSE</t>
        </is>
      </c>
      <c r="AC14" s="22" t="inlineStr">
        <is>
          <t>033Y00</t>
        </is>
      </c>
      <c r="AD14" s="22" t="inlineStr">
        <is>
          <t>041E, 090Z, 036E, CVIS, 042E</t>
        </is>
      </c>
      <c r="AE14" s="22" t="inlineStr">
        <is>
          <t>47.041</t>
        </is>
      </c>
      <c r="AF14" s="22" t="inlineStr">
        <is>
          <t>1</t>
        </is>
      </c>
      <c r="AG14" s="22" t="inlineStr">
        <is>
          <t>08/13/2024</t>
        </is>
      </c>
      <c r="AH14" s="22" t="inlineStr">
        <is>
          <t>03/24/2025</t>
        </is>
      </c>
      <c r="AI14" s="23" t="inlineStr">
        <is>
          <t>The objective of this Civic Innovation Challenge (CIVIC) project is to support research on design and implementation of a machine learning (ML)-based system, called WAUTO (Water operations AUTOmation), to optimize wastewater treatment plant operations during extreme weather events. Working with the Little Patuxent Wastewater Reclamation Plant (LPWRP), researchers from the Johns Hopkins University Applied Physics Laboratory (APL) and the Whiting School of Engineering (WSE) aim to enhance LPWRP’s resilience to extreme weather. Climate change is resulting in more frequent floods with higher water levels than what current models predict. In Howard County, MD, two floods, each expected to occur only every 1,000 years, took place within two years. The challenges faced by LPWRP are common nationwide. Smaller facilities, usually serving economically disadvantaged and marginalized communities, are especially vulnerable to flooding events. The WAUTO intends to enable continued system operation essential to public health and prosperity throughout the disaster. A wide range of stakeholders are engaged, including engineers, plant managers, and government officials. Success of this project could pave the way for the deployment of cutting-edge ML-based solutions for protecting critical infrastructures of national importance. 
In this project, the researchers build a high accuracy model to predict the inflow and plant capacity as well as a model of plant equipment. Using features such as the water table / river levels and weather for the first model, and schematics/documentation and subject matter expertise for the second, the team trains a Reinforcement Learning (RL) agent to optimize plant operations by taking actions such as adjusting water flow rates and equalizing tank levels, based on predictions from the models as well real-time observations. For the Stage 2 Pilot, WAUTO will deployed at LPWRP through a phased approach as confidence in its performance improves. This civic-academic team consists of professionals from LPWRP, the Howard County Department of Public Works (DPW), researchers from APL and WSE, experts in geology and weather, and members from the broader community.
This project is in response to the Civic Innovation Challenge program’s Track A. Climate and Environmental Instability - Building Resilient Communities through Co-Design, Adaption, and Mitigation and is a collaboration between NSF, the Department of Homeland Security, and the Department of Energy.
This award reflects NSF's statutory mission and has been deemed worthy of support through evaluation using the Foundation's intellectual merit and broader impacts review criteria.</t>
        </is>
      </c>
      <c r="AJ14" s="23" t="inlineStr">
        <is>
          <t>&lt;div class="porColContainerWBG"&gt;
&lt;div class="porContentCol"&gt;&lt;p class="p1"&gt;Extreme weather often affect local water plants, resulting in&lt;span&gt;&amp;nbsp;&lt;/span&gt;more water than wastewater treatment plants are able to handle. The Little Patuxent Water Reclamation Plant (LPWRP) in Howard County would like to address potential future challenges and ensure operational resilience through extreme weather events, a problem that is applicable nationally.&lt;span&gt;&amp;nbsp; &lt;/span&gt;Specifically, we collaborate with LPWRP to design and implement a system, called WAUTO (Water operations AUTOmation), to optimize plant operations during extreme weather events.&lt;span&gt;&amp;nbsp; &lt;/span&gt;During the planning grant stage, we worked closely with LPWRP and finally submitted a stage 2 proposal.&lt;span&gt;&amp;nbsp; Specifically, we obtained additional data from LPWRP and trained a learning model for water level prediction.&amp;nbsp;&lt;/span&gt;We hope to continue working LRWRP should the stage 2 proposal is advanced.&lt;span&gt;&amp;nbsp;&lt;/span&gt;&lt;/p&gt;
&lt;p class="p1"&gt;&lt;span&gt;&amp;nbsp;&lt;/span&gt;The broader impacts are that by taking a system thinking perspective around environmental thresholds when building WAUTO, the modular system developed could benefit resource constrained utilities with improved flow management during these events. In addition to improving the climate resilience of water utilities, the proposal is accompanied by an educational component to improve education in machine learning for critical infrastructure for graduate, undergraduate, and K-12 students through courses at Johns Hopkins University and internships at the&amp;nbsp;Johns Hopkins University (JHU) Applied Physics Laboratory (APL).&amp;nbsp;&lt;/p&gt;
&lt;p&gt;&amp;nbsp;&lt;/p&gt;&lt;br&gt;
&lt;p&gt;
 Last Modified: 04/03/2025&lt;br&gt;
Modified by: Yinzhi&amp;nbsp;Cao&lt;/p&gt;&lt;/div&gt;
&lt;div class="porSideCol"
&gt;&lt;/div&gt;
&lt;/div&gt;</t>
        </is>
      </c>
    </row>
    <row r="15" ht="18" customHeight="1">
      <c r="A15" s="25" t="inlineStr">
        <is>
          <t>2340338</t>
        </is>
      </c>
      <c r="B15" s="26" t="inlineStr">
        <is>
          <t>CAREER: RI: Uncovering principles of robust intelligence by disentangling the functional architecture of the brain</t>
        </is>
      </c>
      <c r="C15" s="25" t="inlineStr">
        <is>
          <t>Continuing Grant</t>
        </is>
      </c>
      <c r="D15" s="25" t="inlineStr">
        <is>
          <t>true</t>
        </is>
      </c>
      <c r="E15" s="25" t="inlineStr">
        <is>
          <t>08/26/2024</t>
        </is>
      </c>
      <c r="F15" s="25" t="inlineStr">
        <is>
          <t>10/01/2024</t>
        </is>
      </c>
      <c r="G15" s="25" t="inlineStr">
        <is>
          <t>09/30/2029</t>
        </is>
      </c>
      <c r="H15" s="25" t="inlineStr">
        <is>
          <t>2024</t>
        </is>
      </c>
      <c r="I15" s="27" t="n">
        <v>718681</v>
      </c>
      <c r="J15" s="27" t="n">
        <v>718681</v>
      </c>
      <c r="K15" s="25" t="inlineStr">
        <is>
          <t>Adam</t>
        </is>
      </c>
      <c r="L15" s="25" t="inlineStr">
        <is>
          <t>Charles</t>
        </is>
      </c>
      <c r="M15" s="25" t="inlineStr">
        <is>
          <t>adamsc@jhu.edu</t>
        </is>
      </c>
      <c r="N15" s="25" t="inlineStr"/>
      <c r="O15" s="25" t="inlineStr">
        <is>
          <t>Adam S Charles</t>
        </is>
      </c>
      <c r="P15" s="25" t="inlineStr">
        <is>
          <t>Jie Yang</t>
        </is>
      </c>
      <c r="Q15" s="25" t="inlineStr">
        <is>
          <t>jyang@nsf.gov</t>
        </is>
      </c>
      <c r="R15" s="25" t="inlineStr">
        <is>
          <t>THE JOHNS HOPKINS UNIVERSITY</t>
        </is>
      </c>
      <c r="S15" s="25" t="inlineStr">
        <is>
          <t>BALTIMORE</t>
        </is>
      </c>
      <c r="T15" s="25" t="inlineStr">
        <is>
          <t>MD</t>
        </is>
      </c>
      <c r="U15" s="25" t="inlineStr">
        <is>
          <t>212182608</t>
        </is>
      </c>
      <c r="V15" s="25" t="inlineStr">
        <is>
          <t>FTMTDMBR29C7</t>
        </is>
      </c>
      <c r="W15" s="25" t="inlineStr">
        <is>
          <t>BALTIMORE</t>
        </is>
      </c>
      <c r="X15" s="25" t="inlineStr">
        <is>
          <t>MD</t>
        </is>
      </c>
      <c r="Y15" s="25" t="inlineStr">
        <is>
          <t>CSE</t>
        </is>
      </c>
      <c r="Z15" s="25" t="inlineStr">
        <is>
          <t>IIS</t>
        </is>
      </c>
      <c r="AA15" s="26" t="inlineStr">
        <is>
          <t>Robust Intelligence</t>
        </is>
      </c>
      <c r="AB15" s="25" t="inlineStr">
        <is>
          <t>Understanding the Brain/Cognitive Scienc, ROBUST INTELLIGENCE, CAREER-Faculty Erly Career Dev</t>
        </is>
      </c>
      <c r="AC15" s="25" t="inlineStr">
        <is>
          <t>749500</t>
        </is>
      </c>
      <c r="AD15" s="25" t="inlineStr">
        <is>
          <t>8089, 7495, 1045</t>
        </is>
      </c>
      <c r="AE15" s="25" t="inlineStr">
        <is>
          <t>47.070</t>
        </is>
      </c>
      <c r="AF15" s="25" t="inlineStr">
        <is>
          <t>1</t>
        </is>
      </c>
      <c r="AG15" s="25" t="inlineStr">
        <is>
          <t>08/26/2024</t>
        </is>
      </c>
      <c r="AH15" s="25" t="inlineStr">
        <is>
          <t>07/22/2025</t>
        </is>
      </c>
      <c r="AI15" s="26" t="inlineStr">
        <is>
          <t>Multiple systems of the brain are coordinated to produce the intelligence that enables complex behaviors. While data collections tools have been steadily increasing the ability to record activity from across the entire brain, analyses of these data have primarily focused on dividing neurons by anatomical areas and analyzing neural activity within and across brain areas. Recent observations suggest, however, that coordination of brain activity is related to, but not restricted to anatomical boundaries. There is a functional architecture of the brain that represents the work that the brain computes across the the anatomical hardware. This project aims to disentangle the functional architecture by developing new models specialized in exploring the different types of brain computations. As opposed to current models, the emphasis on finding circuitry within the brain that combines in different ways to support flexible computation will uncover how brains can flexibly adapt to produce robust intelligence.
Specifically, this project will develop this framework to understand how computation is distributed in two important model behaviors: navigation in whole-brain recordings of zebrafish larvae, and decision making in rodents. Aim 1 will identify systems underlying navigation, using the advanced optical imaging tools available that capture the simultaneous activity of both neurons and glia over the entire zebrafish larval brain. First, a behaviorally-decomposed dynamical system will be developed to explicitly tie the subsystems across the brain to behavioral elements including swim bouts and visual stimuli. Second, the decomposed dynamical systems model will be extended to explicitly capture the asymmetric nature of neural-glial interactions. Aim 2 will identify subsystems underlying visual decision making in multi-electrode recordings of rodents. Despite the ability to record many neurons in multiple brain areas, these neurons still represent only a fraction of the neurons in these areas, let alone the entire brain. To address this limitation this project will develop a multi-scale missing-neuron dynamical system that will treat hidden systems as a hidden set of latent variables that operate in parallel to the observed neurons. These methods will reveal how the functional architecture is structured and how different pathways are activated under different conditions, e.g., error trials. Taken together this project will establish new quantitative models to uncover the functional architecture of the brain and provide new insight into both navigation and decision making.
This award reflects NSF's statutory mission and has been deemed worthy of support through evaluation using the Foundation's intellectual merit and broader impacts review criteria.</t>
        </is>
      </c>
      <c r="AJ15" s="26" t="inlineStr"/>
    </row>
    <row r="16" ht="18" customHeight="1">
      <c r="A16" s="22" t="inlineStr">
        <is>
          <t>2402234</t>
        </is>
      </c>
      <c r="B16" s="23" t="inlineStr">
        <is>
          <t>Data-adaptive Random Tessellations for Complex Data Analysis</t>
        </is>
      </c>
      <c r="C16" s="22" t="inlineStr">
        <is>
          <t>Standard Grant</t>
        </is>
      </c>
      <c r="D16" s="22" t="inlineStr">
        <is>
          <t>true</t>
        </is>
      </c>
      <c r="E16" s="22" t="inlineStr">
        <is>
          <t>08/01/2024</t>
        </is>
      </c>
      <c r="F16" s="22" t="inlineStr">
        <is>
          <t>10/01/2024</t>
        </is>
      </c>
      <c r="G16" s="22" t="inlineStr">
        <is>
          <t>09/30/2027</t>
        </is>
      </c>
      <c r="H16" s="22" t="inlineStr">
        <is>
          <t>2024</t>
        </is>
      </c>
      <c r="I16" s="24" t="n">
        <v>320236</v>
      </c>
      <c r="J16" s="24" t="n">
        <v>320236</v>
      </c>
      <c r="K16" s="22" t="inlineStr">
        <is>
          <t>Elizabeth</t>
        </is>
      </c>
      <c r="L16" s="22" t="inlineStr">
        <is>
          <t>O'Reilly</t>
        </is>
      </c>
      <c r="M16" s="22" t="inlineStr">
        <is>
          <t>eliza.gmsp@gmail.com</t>
        </is>
      </c>
      <c r="N16" s="22" t="inlineStr"/>
      <c r="O16" s="22" t="inlineStr">
        <is>
          <t>Elizabeth O'Reilly</t>
        </is>
      </c>
      <c r="P16" s="22" t="inlineStr">
        <is>
          <t>Jodi Mead</t>
        </is>
      </c>
      <c r="Q16" s="22" t="inlineStr">
        <is>
          <t>jmead@nsf.gov</t>
        </is>
      </c>
      <c r="R16" s="22" t="inlineStr">
        <is>
          <t>THE JOHNS HOPKINS UNIVERSITY</t>
        </is>
      </c>
      <c r="S16" s="22" t="inlineStr">
        <is>
          <t>BALTIMORE</t>
        </is>
      </c>
      <c r="T16" s="22" t="inlineStr">
        <is>
          <t>MD</t>
        </is>
      </c>
      <c r="U16" s="22" t="inlineStr">
        <is>
          <t>212182608</t>
        </is>
      </c>
      <c r="V16" s="22" t="inlineStr">
        <is>
          <t>FTMTDMBR29C7</t>
        </is>
      </c>
      <c r="W16" s="22" t="inlineStr">
        <is>
          <t>BALTIMORE</t>
        </is>
      </c>
      <c r="X16" s="22" t="inlineStr">
        <is>
          <t>MD</t>
        </is>
      </c>
      <c r="Y16" s="22" t="inlineStr">
        <is>
          <t>MPS</t>
        </is>
      </c>
      <c r="Z16" s="22" t="inlineStr">
        <is>
          <t>DMS</t>
        </is>
      </c>
      <c r="AA16" s="23" t="inlineStr">
        <is>
          <t>CDS&amp;E-MSS, CDS&amp;E, OFFICE OF MULTIDISCIPLINARY AC</t>
        </is>
      </c>
      <c r="AB16" s="22" t="inlineStr">
        <is>
          <t>Machine Learning Theory, COMPUTATIONAL SCIENCE &amp; ENGING</t>
        </is>
      </c>
      <c r="AC16" s="22" t="inlineStr">
        <is>
          <t>806900, 808400, 125300</t>
        </is>
      </c>
      <c r="AD16" s="22" t="inlineStr">
        <is>
          <t>079Z, 9263</t>
        </is>
      </c>
      <c r="AE16" s="22" t="inlineStr">
        <is>
          <t>47.049, 47.070</t>
        </is>
      </c>
      <c r="AF16" s="22" t="inlineStr">
        <is>
          <t>1</t>
        </is>
      </c>
      <c r="AG16" s="22" t="inlineStr">
        <is>
          <t>08/01/2024</t>
        </is>
      </c>
      <c r="AH16" s="22" t="inlineStr">
        <is>
          <t>08/01/2024</t>
        </is>
      </c>
      <c r="AI16" s="23" t="inlineStr">
        <is>
          <t>Developing accurate and interpretable models is crucial for the safety and efficacy of machine learning in an ever-increasing range of applications. To achieve state-of-the-art performance, algorithms rely on expensive and opaque optimization procedures that implicitly learn the most important features of the dataset to build the model. The complex nature of these algorithms impedes our ability to interpret the patterns in the data used to generate the output and obtain mathematical performance guarantees. This project will develop a library of fast and accurate machine-learning algorithms with interpretable mechanisms for learning the most relevant information from a dataset. This project will also create a corresponding mathematical toolkit for analyzing these algorithms to guide optimal implementation and provide statistical guarantees. These interpretable and theoretically justified algorithms will be of particular value for safety-critical applications in engineering and healthcare. This project will be complemented by the mentorship of undergraduate and graduate research projects utilizing data science for the public good.
Many modern machine-learning algorithms generate complex models using random partitions of the available data set. The most successful approaches, such as random forests and neural networks with piecewise linear activation functions, rely on optimization procedures that generate a data-adaptive partition, making the algorithm very difficult to analyze. On the other hand, purely random forests and random feature models generate random partitions of the feature space independently of the data. These methods are more amenable to theoretical analysis, but their performance and scalability suffer in the presence of large and high-dimensional datasets. This project will utilize and expand the toolkit of random tessellation processes in stochastic geometry to close the theoretical and computational gap between data-independent and data-adaptive random partitioning methods in machine learning. This mathematical framework consists of expressive models for random partitions with parameters that will be learned from data and an extensive theory from which to develop a comprehensive understanding of the mathematical properties of the learned models. The goals of the project are to develop state-of-the-art random partitioning algorithms for data analysis, provide matching theoretical performance guarantees, and study fundamental statistical and computational trade-offs of data-adaptivity in the partitioning process.
This award reflects NSF's statutory mission and has been deemed worthy of support through evaluation using the Foundation's intellectual merit and broader impacts review criteria.</t>
        </is>
      </c>
      <c r="AJ16" s="23" t="inlineStr"/>
    </row>
    <row r="17" ht="18" customHeight="1">
      <c r="A17" s="25" t="inlineStr">
        <is>
          <t>2425030</t>
        </is>
      </c>
      <c r="B17" s="26" t="inlineStr">
        <is>
          <t>Collaborative Research: SAI: Safe bicycle infrastructure: Preparing for an e-bike future</t>
        </is>
      </c>
      <c r="C17" s="25" t="inlineStr">
        <is>
          <t>Standard Grant</t>
        </is>
      </c>
      <c r="D17" s="25" t="inlineStr">
        <is>
          <t>true</t>
        </is>
      </c>
      <c r="E17" s="25" t="inlineStr">
        <is>
          <t>08/20/2024</t>
        </is>
      </c>
      <c r="F17" s="25" t="inlineStr">
        <is>
          <t>09/15/2024</t>
        </is>
      </c>
      <c r="G17" s="25" t="inlineStr">
        <is>
          <t>08/31/2027</t>
        </is>
      </c>
      <c r="H17" s="25" t="inlineStr">
        <is>
          <t>2024</t>
        </is>
      </c>
      <c r="I17" s="27" t="n">
        <v>140000</v>
      </c>
      <c r="J17" s="27" t="n">
        <v>140000</v>
      </c>
      <c r="K17" s="25" t="inlineStr">
        <is>
          <t>SUSU</t>
        </is>
      </c>
      <c r="L17" s="25" t="inlineStr">
        <is>
          <t>XU</t>
        </is>
      </c>
      <c r="M17" s="25" t="inlineStr">
        <is>
          <t>sxu83@jhu.edu</t>
        </is>
      </c>
      <c r="N17" s="25" t="inlineStr"/>
      <c r="O17" s="25" t="inlineStr">
        <is>
          <t>SUSU XU</t>
        </is>
      </c>
      <c r="P17" s="25" t="inlineStr">
        <is>
          <t>Jeremy Koster</t>
        </is>
      </c>
      <c r="Q17" s="25" t="inlineStr">
        <is>
          <t>jkoster@nsf.gov</t>
        </is>
      </c>
      <c r="R17" s="25" t="inlineStr">
        <is>
          <t>THE JOHNS HOPKINS UNIVERSITY</t>
        </is>
      </c>
      <c r="S17" s="25" t="inlineStr">
        <is>
          <t>BALTIMORE</t>
        </is>
      </c>
      <c r="T17" s="25" t="inlineStr">
        <is>
          <t>MD</t>
        </is>
      </c>
      <c r="U17" s="25" t="inlineStr">
        <is>
          <t>212182608</t>
        </is>
      </c>
      <c r="V17" s="25" t="inlineStr">
        <is>
          <t>FTMTDMBR29C7</t>
        </is>
      </c>
      <c r="W17" s="25" t="inlineStr">
        <is>
          <t>BALTIMORE</t>
        </is>
      </c>
      <c r="X17" s="25" t="inlineStr">
        <is>
          <t>MD</t>
        </is>
      </c>
      <c r="Y17" s="25" t="inlineStr">
        <is>
          <t>SBE</t>
        </is>
      </c>
      <c r="Z17" s="25" t="inlineStr">
        <is>
          <t>BCS</t>
        </is>
      </c>
      <c r="AA17" s="26" t="inlineStr">
        <is>
          <t>Strengthening American Infras.</t>
        </is>
      </c>
      <c r="AB17" s="25" t="inlineStr"/>
      <c r="AC17" s="25" t="inlineStr">
        <is>
          <t>145Y00</t>
        </is>
      </c>
      <c r="AD17" s="25" t="inlineStr"/>
      <c r="AE17" s="25" t="inlineStr">
        <is>
          <t>47.075</t>
        </is>
      </c>
      <c r="AF17" s="25" t="inlineStr">
        <is>
          <t>1</t>
        </is>
      </c>
      <c r="AG17" s="25" t="inlineStr">
        <is>
          <t>08/20/2024</t>
        </is>
      </c>
      <c r="AH17" s="25" t="inlineStr">
        <is>
          <t>08/20/2024</t>
        </is>
      </c>
      <c r="AI17" s="26" t="inlineStr">
        <is>
          <t>Strengthening American Infrastructure (SAI) is an NSF Program seeking to stimulate human-centered fundamental and potentially transformative research that strengthens America’s infrastructure. Effective infrastructure provides a strong foundation for socioeconomic vitality and broad quality of life improvement. Strong, reliable, and effective infrastructure spurs private-sector innovation, grows the economy, creates jobs, makes public-sector service provision more efficient, strengthens communities, promotes equal opportunity, protects the natural environment, enhances national security, and fuels American leadership. To achieve these goals requires expertise from across the science and engineering disciplines. SAI focuses on how knowledge of human reasoning and decision-making, governance, and social and cultural processes enables the building and maintenance of effective infrastructure that improves lives and society and builds on advances in technology and engineering.
Cities and towns across the United States have witnessed rapid growth of electric bike (e-bike) usage in recent years. Along with this growth has been an increase in e-bike crashes, highlighting the urgent need to improve bicycle infrastructure. This SAI project seeks to improve bicycle infrastructure planning and design across U.S. communities to promote safer and more widespread e-bike use. Until now, transportation planners and engineers typically design bicycle infrastructure with a traditional, non-electric bike in mind. This is problematic because e-bikes are faster, heavier, and larger than traditional bicycles, creating new challenges for planning and designing bicycle infrastructure. This project strengthens American bike infrastructure to prepare for an e-bike future by studying how different types of bicycle facilities affect cyclists' and e-cyclists' perceptions of comfort and safety, as well as their riding behavior. The research helps transportation planners make better infrastructure investment decisions to increase bicycle use, enhance rider safety, and promote transportation equity.
Cyclists' perceptions of the bicycle infrastructure they interact with play a major role in shaping their cycling behavior and infrastructure-related choices. However, little is known about whether and how the comfort and safety perceptions of e-bike users and traditional bike riders differ. Grounded in social and behavioral theories, this project advances knowledge of e-bike users' infrastructure needs and preferences by developing a social and cognitive psychological account of cyclists' and e-cyclists' comfort and safety perceptions across cycling environments. A multidisciplinary research team develops and tests a novel socioecological theory of planned behavior model by collecting and analyzing multi-sourced, complementary datasets such as survey, interview, bike trip trajectory, and surface street imagery data. The integration of these datasets, coupled with state-of-the-art generative AI technologies and modeling approaches,  advances bicycle infrastructure research on both theoretical and methodological fronts. Numerous stakeholders, including transportation agencies, bikeshare operators, and bicyclist organizations are engaged throughout the project for co-design activities to maximize societal impacts.
This award reflects NSF's statutory mission and has been deemed worthy of support through evaluation using the Foundation's intellectual merit and broader impacts review criteria.</t>
        </is>
      </c>
      <c r="AJ17" s="26" t="inlineStr"/>
    </row>
    <row r="18" ht="18" customHeight="1">
      <c r="A18" s="22" t="inlineStr">
        <is>
          <t>2407882</t>
        </is>
      </c>
      <c r="B18" s="23" t="inlineStr">
        <is>
          <t>Collaborative Research: Pinning down the source of the L/T transition with the help of polarimetry.</t>
        </is>
      </c>
      <c r="C18" s="22" t="inlineStr">
        <is>
          <t>Standard Grant</t>
        </is>
      </c>
      <c r="D18" s="22" t="inlineStr">
        <is>
          <t>true</t>
        </is>
      </c>
      <c r="E18" s="22" t="inlineStr">
        <is>
          <t>08/23/2024</t>
        </is>
      </c>
      <c r="F18" s="22" t="inlineStr">
        <is>
          <t>09/01/2024</t>
        </is>
      </c>
      <c r="G18" s="22" t="inlineStr">
        <is>
          <t>08/31/2027</t>
        </is>
      </c>
      <c r="H18" s="22" t="inlineStr">
        <is>
          <t>2024</t>
        </is>
      </c>
      <c r="I18" s="24" t="n">
        <v>59924</v>
      </c>
      <c r="J18" s="24" t="n">
        <v>59924</v>
      </c>
      <c r="K18" s="22" t="inlineStr">
        <is>
          <t>Elena</t>
        </is>
      </c>
      <c r="L18" s="22" t="inlineStr">
        <is>
          <t>Manjavacas</t>
        </is>
      </c>
      <c r="M18" s="22" t="inlineStr">
        <is>
          <t>emanjavacas@stsci.edu</t>
        </is>
      </c>
      <c r="N18" s="22" t="inlineStr"/>
      <c r="O18" s="22" t="inlineStr">
        <is>
          <t>Elena Manjavacas</t>
        </is>
      </c>
      <c r="P18" s="22" t="inlineStr">
        <is>
          <t>Gioia Rau</t>
        </is>
      </c>
      <c r="Q18" s="22" t="inlineStr">
        <is>
          <t>grau@nsf.gov</t>
        </is>
      </c>
      <c r="R18" s="22" t="inlineStr">
        <is>
          <t>THE JOHNS HOPKINS UNIVERSITY</t>
        </is>
      </c>
      <c r="S18" s="22" t="inlineStr">
        <is>
          <t>BALTIMORE</t>
        </is>
      </c>
      <c r="T18" s="22" t="inlineStr">
        <is>
          <t>MD</t>
        </is>
      </c>
      <c r="U18" s="22" t="inlineStr">
        <is>
          <t>212182608</t>
        </is>
      </c>
      <c r="V18" s="22" t="inlineStr">
        <is>
          <t>FTMTDMBR29C7</t>
        </is>
      </c>
      <c r="W18" s="22" t="inlineStr">
        <is>
          <t>Baltimore</t>
        </is>
      </c>
      <c r="X18" s="22" t="inlineStr">
        <is>
          <t>MD</t>
        </is>
      </c>
      <c r="Y18" s="22" t="inlineStr">
        <is>
          <t>MPS</t>
        </is>
      </c>
      <c r="Z18" s="22" t="inlineStr">
        <is>
          <t>AST</t>
        </is>
      </c>
      <c r="AA18" s="23" t="inlineStr">
        <is>
          <t>STELLAR ASTRONOMY &amp; ASTROPHYSC</t>
        </is>
      </c>
      <c r="AB18" s="22" t="inlineStr">
        <is>
          <t>THEORETICAL &amp; COMPUTATIONAL ASTROPHYSICS, OBSERVATIONAL ASTRONOMY</t>
        </is>
      </c>
      <c r="AC18" s="22" t="inlineStr">
        <is>
          <t>121500</t>
        </is>
      </c>
      <c r="AD18" s="22" t="inlineStr">
        <is>
          <t>1206, 1207</t>
        </is>
      </c>
      <c r="AE18" s="22" t="inlineStr">
        <is>
          <t>47.049</t>
        </is>
      </c>
      <c r="AF18" s="22" t="inlineStr">
        <is>
          <t>1</t>
        </is>
      </c>
      <c r="AG18" s="22" t="inlineStr">
        <is>
          <t>08/23/2024</t>
        </is>
      </c>
      <c r="AH18" s="22" t="inlineStr">
        <is>
          <t>08/23/2024</t>
        </is>
      </c>
      <c r="AI18" s="23" t="inlineStr">
        <is>
          <t>Brown dwarfs, often referred to as "failed stars," occupy a fascinating middle ground between stars and planets. As these objects age, they undergo a dramatic transformation known as the L/T transition, during which their atmospheres and observed properties change rapidly. This transition is crucial for understanding the evolution of brown dwarfs, as well as for drawing parallels with many imaged exoplanets, which often resemble these brown dwarfs. This research team will illuminate the mysteries of the L/T transition using the technique of polarimetry. Graduate and undergraduate students will gain hands-on experience in modeling, observation, and data analysis. The team will also develop educational resources, including a website and interactive tools, to engage and inform high school and university students about polarimetry and its applications in astrophysics. 
The L/T transition in brown dwarfs is marked by rapid atmospheric changes that affect their color and variability in light. This project seeks to address the underlying causes of these changes by using polarimetry to provide new constraints on the models of brown dwarf atmospheres. The research will involve creating a comprehensive grid of models that incorporate both cloud formation and chemical processes, assessing their impact on both flux and polarization signals. This grid will be instrumental in interpreting both existing and new polarimetric observations. The primary goals are to refine the understanding of the L/T transition and to develop tools that will aid in the design and analysis of future polarimetric observations of brown dwarfs and exoplanets. The project includes a significant training component, supporting two graduate students and 1-2 undergraduates annually at UCF, JHU, and UCSB. The team will develop a dedicated website and educational materials to promote the technique of polarimetry and its applications, thereby fostering greater engagement with the broader scientific community and the public.
This award reflects NSF's statutory mission and has been deemed worthy of support through evaluation using the Foundation's intellectual merit and broader impacts review criteria.</t>
        </is>
      </c>
      <c r="AJ18" s="23" t="inlineStr"/>
    </row>
    <row r="19" ht="18" customHeight="1">
      <c r="A19" s="25" t="inlineStr">
        <is>
          <t>2417399</t>
        </is>
      </c>
      <c r="B19" s="26" t="inlineStr">
        <is>
          <t>Collaborative Research: Diagnostic Expectations, Uncertainty, and Macroeconomic Fluctuations</t>
        </is>
      </c>
      <c r="C19" s="25" t="inlineStr">
        <is>
          <t>Standard Grant</t>
        </is>
      </c>
      <c r="D19" s="25" t="inlineStr">
        <is>
          <t>true</t>
        </is>
      </c>
      <c r="E19" s="25" t="inlineStr">
        <is>
          <t>08/08/2024</t>
        </is>
      </c>
      <c r="F19" s="25" t="inlineStr">
        <is>
          <t>09/01/2024</t>
        </is>
      </c>
      <c r="G19" s="25" t="inlineStr">
        <is>
          <t>08/31/2027</t>
        </is>
      </c>
      <c r="H19" s="25" t="inlineStr">
        <is>
          <t>2024</t>
        </is>
      </c>
      <c r="I19" s="27" t="n">
        <v>233514</v>
      </c>
      <c r="J19" s="27" t="n">
        <v>233514</v>
      </c>
      <c r="K19" s="25" t="inlineStr">
        <is>
          <t>Francesco</t>
        </is>
      </c>
      <c r="L19" s="25" t="inlineStr">
        <is>
          <t>Bianchi</t>
        </is>
      </c>
      <c r="M19" s="25" t="inlineStr">
        <is>
          <t>francesco.bianchi@jhu.edu</t>
        </is>
      </c>
      <c r="N19" s="25" t="inlineStr"/>
      <c r="O19" s="25" t="inlineStr">
        <is>
          <t>Francesco Bianchi</t>
        </is>
      </c>
      <c r="P19" s="25" t="inlineStr">
        <is>
          <t>Nancy Lutz</t>
        </is>
      </c>
      <c r="Q19" s="25" t="inlineStr">
        <is>
          <t>nlutz@nsf.gov</t>
        </is>
      </c>
      <c r="R19" s="25" t="inlineStr">
        <is>
          <t>THE JOHNS HOPKINS UNIVERSITY</t>
        </is>
      </c>
      <c r="S19" s="25" t="inlineStr">
        <is>
          <t>BALTIMORE</t>
        </is>
      </c>
      <c r="T19" s="25" t="inlineStr">
        <is>
          <t>MD</t>
        </is>
      </c>
      <c r="U19" s="25" t="inlineStr">
        <is>
          <t>212182608</t>
        </is>
      </c>
      <c r="V19" s="25" t="inlineStr">
        <is>
          <t>FTMTDMBR29C7</t>
        </is>
      </c>
      <c r="W19" s="25" t="inlineStr">
        <is>
          <t>BALTIMORE</t>
        </is>
      </c>
      <c r="X19" s="25" t="inlineStr">
        <is>
          <t>MD</t>
        </is>
      </c>
      <c r="Y19" s="25" t="inlineStr">
        <is>
          <t>SBE</t>
        </is>
      </c>
      <c r="Z19" s="25" t="inlineStr">
        <is>
          <t>SES</t>
        </is>
      </c>
      <c r="AA19" s="26" t="inlineStr">
        <is>
          <t>Economics</t>
        </is>
      </c>
      <c r="AB19" s="25" t="inlineStr">
        <is>
          <t>GRADUATE INVOLVEMENT</t>
        </is>
      </c>
      <c r="AC19" s="25" t="inlineStr">
        <is>
          <t>132000</t>
        </is>
      </c>
      <c r="AD19" s="25" t="inlineStr">
        <is>
          <t>9179</t>
        </is>
      </c>
      <c r="AE19" s="25" t="inlineStr">
        <is>
          <t>47.075</t>
        </is>
      </c>
      <c r="AF19" s="25" t="inlineStr">
        <is>
          <t>1</t>
        </is>
      </c>
      <c r="AG19" s="25" t="inlineStr">
        <is>
          <t>08/08/2024</t>
        </is>
      </c>
      <c r="AH19" s="25" t="inlineStr">
        <is>
          <t>08/08/2024</t>
        </is>
      </c>
      <c r="AI19" s="26" t="inlineStr">
        <is>
          <t>This award funds research in macroeconomics and bounded rationality. The team starts with the observation that in the formalization of representativeness (Kahneman and Tversky, 1972) developed by Gennaioli and Shleifer (2010), overreaction and confidence are affected by uncertainty, as a news effect interacts with an uncertainty effect. In the time series domain, this interaction emerges in a smooth version of Diagnostic Expectations (DE). Under Smooth Diagnostic Expectations (Smooth DE), agents overreact to new information. Since new information typically changes not just the conditional mean, but also the conditional uncertainty, changes in uncertainty surrounding current and past beliefs affect the severity of the DE distortion and confidence. As a result, Smooth DE ends up connecting two vastly popular branches of Economics that have largely proceeded in parallel: the Diagnostic Expectations literature and the Uncertainty literature (Bloom, 2014).
The research consists of three projects. In the first project, the team highlights the inherent link between representativeness and uncertainty and introduces Smooth DE as the natural time series formalization of such a link. Under Smooth DE, agents over-react to new information as captured by the change in the current distribution of future events with respect to a reference distribution. Changes in uncertainty surrounding current and past beliefs affect the extent of the DE distortion. Smooth DE implies a joint and parsimonious micro-foundation for key properties of survey data: (1) overreaction of conditional mean to news, (2) stronger overreaction for weaker signals and longer forecast horizons, and (3) overconfidence in subjective uncertainty. In the second project, the team studies quantitative business cycle models that leverage insights from the Smooth DE framework, as well as from the team’s previous work on DE, imperfect information, and non-linear solution methods. The goal is to provide a rigorous and parsimonious account of business cycle properties that emerges from a smooth DE model with signal extraction. An analytical RBC model featuring Smooth DE accounts for overreaction and overconfidence in surveys, as well as three salient properties of the business cycle: (1) asymmetry, (2) countercyclical micro volatility, and (3) countercyclical macro volatility. A negative shock that raises perceived uncertainty increases the over-reaction to both idiosyncratic and aggregate shocks, and deepens the contraction. This rich and novel propagation arises because the intensity of the DE distortion is state-dependent. In the third project, the team focuses on actionable implications. Under smooth DE, the severity of the DE distortion varies in response to the level of uncertainty faced by agents. The team uncovers a novel role for decision makers: by reducing uncertainty, decision makers can now reduce the severity of the DE distortion and thus stabilize agents’ psychological biases. Thus, a redistributive rules that reduce cross-sectional uncertainty could also be beneficial for macroeconomic stabilization. The team studies the novel welfare implications of this belief stabilization
This award reflects NSF's statutory mission and has been deemed worthy of support through evaluation using the Foundation's intellectual merit and broader impacts review criteria.</t>
        </is>
      </c>
      <c r="AJ19" s="26" t="inlineStr"/>
    </row>
    <row r="20" ht="18" customHeight="1">
      <c r="A20" s="22" t="inlineStr">
        <is>
          <t>2438193</t>
        </is>
      </c>
      <c r="B20" s="23" t="inlineStr">
        <is>
          <t>EAGER: NAIRR Pilot: Enabling parametric sweeps on exascale AI-integrated simulations through federated learning</t>
        </is>
      </c>
      <c r="C20" s="22" t="inlineStr">
        <is>
          <t>Standard Grant</t>
        </is>
      </c>
      <c r="D20" s="22" t="inlineStr">
        <is>
          <t>true</t>
        </is>
      </c>
      <c r="E20" s="22" t="inlineStr">
        <is>
          <t>08/13/2024</t>
        </is>
      </c>
      <c r="F20" s="22" t="inlineStr">
        <is>
          <t>09/01/2024</t>
        </is>
      </c>
      <c r="G20" s="22" t="inlineStr">
        <is>
          <t>08/31/2026</t>
        </is>
      </c>
      <c r="H20" s="22" t="inlineStr">
        <is>
          <t>2024</t>
        </is>
      </c>
      <c r="I20" s="24" t="n">
        <v>299524</v>
      </c>
      <c r="J20" s="24" t="n">
        <v>299524</v>
      </c>
      <c r="K20" s="22" t="inlineStr">
        <is>
          <t>Somdatta</t>
        </is>
      </c>
      <c r="L20" s="22" t="inlineStr">
        <is>
          <t>Goswami</t>
        </is>
      </c>
      <c r="M20" s="22" t="inlineStr">
        <is>
          <t>sgoswam4@jhu.edu</t>
        </is>
      </c>
      <c r="N20" s="22" t="inlineStr">
        <is>
          <t>Krishna Kumar krishnak@utexas.edu</t>
        </is>
      </c>
      <c r="O20" s="22" t="inlineStr">
        <is>
          <t>Somdatta Goswami</t>
        </is>
      </c>
      <c r="P20" s="22" t="inlineStr">
        <is>
          <t>Wen-Wen Tung</t>
        </is>
      </c>
      <c r="Q20" s="22" t="inlineStr">
        <is>
          <t>wtung@nsf.gov</t>
        </is>
      </c>
      <c r="R20" s="22" t="inlineStr">
        <is>
          <t>THE JOHNS HOPKINS UNIVERSITY</t>
        </is>
      </c>
      <c r="S20" s="22" t="inlineStr">
        <is>
          <t>BALTIMORE</t>
        </is>
      </c>
      <c r="T20" s="22" t="inlineStr">
        <is>
          <t>MD</t>
        </is>
      </c>
      <c r="U20" s="22" t="inlineStr">
        <is>
          <t>212182608</t>
        </is>
      </c>
      <c r="V20" s="22" t="inlineStr">
        <is>
          <t>FTMTDMBR29C7</t>
        </is>
      </c>
      <c r="W20" s="22" t="inlineStr">
        <is>
          <t>BALTIMORE</t>
        </is>
      </c>
      <c r="X20" s="22" t="inlineStr">
        <is>
          <t>MD</t>
        </is>
      </c>
      <c r="Y20" s="22" t="inlineStr">
        <is>
          <t>CSE</t>
        </is>
      </c>
      <c r="Z20" s="22" t="inlineStr">
        <is>
          <t>OAC</t>
        </is>
      </c>
      <c r="AA20" s="23" t="inlineStr">
        <is>
          <t>NAIRR-Nat AI Research Resource</t>
        </is>
      </c>
      <c r="AB20" s="22" t="inlineStr">
        <is>
          <t>EAGER</t>
        </is>
      </c>
      <c r="AC20" s="22" t="inlineStr">
        <is>
          <t>296Y00</t>
        </is>
      </c>
      <c r="AD20" s="22" t="inlineStr">
        <is>
          <t>7916</t>
        </is>
      </c>
      <c r="AE20" s="22" t="inlineStr">
        <is>
          <t>47.070</t>
        </is>
      </c>
      <c r="AF20" s="22" t="inlineStr">
        <is>
          <t>1</t>
        </is>
      </c>
      <c r="AG20" s="22" t="inlineStr">
        <is>
          <t>08/13/2024</t>
        </is>
      </c>
      <c r="AH20" s="22" t="inlineStr">
        <is>
          <t>08/13/2024</t>
        </is>
      </c>
      <c r="AI20" s="23" t="inlineStr">
        <is>
          <t>This NAIRR-Pilot project introduces an innovative artificial intelligence (AI) integrated framework to dramatically enhance the efficiency and accessibility of exascale multiphysics simulations, addressing the critical challenge of enabling comprehensive parameter space exploration at unprecedented scales. While exascale simulations represent the pinnacle of supercomputing power, their significant computational demands have hindered comprehensive parameter testing, crucial for scientific discovery and engineering optimization. The approach integrates advanced AI techniques with traditional numerical methods, democratizing access to exascale-level insights without sacrificing accuracy. Key innovations include a novel spatial coupling mechanism between AI and numerical solvers, efficient communication techniques for distributed computing, and adaptive learning methods that quickly adjust to emerging behaviors at the exascale level. The coupling of pre-trained AI models with numerical solvers allows for rapid solution generation for large portions of the domain. The numerical solver is selectively deployed in critical sections where complex physical processes occur, ensuring high accuracy while significantly reducing computational costs. This NAIRR-Pilot project democratizes access to advanced AI research capabilities in computational science, enabling efficient parametric sweeps of exascale simulations. Serving as a crucial testbed for integrating AI resources with exascale scientific computing applications, it contributes to NAIRR's mission of broadening access to cutting-edge AI research tools to solve global challenges like climate change and future manufacturing. The project aligns with national priorities in maintaining leadership in high-performance computing and AI via educational initiatives to cultivate the next generation of diverse STEM talent through coding clubs for children and teens, inspiring future scientists, and fostering community engagement with open-source computational tools.
The project develops a hybrid spatial coupling framework by integrating graph neural network-based neural operators with traditional numerical solvers. This integration maintains the accuracy of simulations while greatly improving computational speed, enabling efficient parametric sweeps of exascale multiphysics simulations. The approach includes probabilistic sampling-based message passing to optimize communication in distributed machine learning and hierarchical federated learning to enhance reduced-order model (ROM) predictions through efficient in situ learning and model adaptation in exascale environments. Additionally, one-shot learning techniques enable ROMs to adapt to new dynamics quickly using limited high-fidelity data. The project demonstrates this transformative approach by benchmarking against carbon capture processes and additive manufacturing problems as a proof of concept. The methodology significantly reduces computational expenses while maintaining high accuracy, potentially enabling comprehensive parametric studies of complex multiphysics problems at the exascale level.
This award reflects NSF's statutory mission and has been deemed worthy of support through evaluation using the Foundation's intellectual merit and broader impacts review criteria.</t>
        </is>
      </c>
      <c r="AJ20" s="23" t="inlineStr"/>
    </row>
    <row r="21" ht="18" customHeight="1">
      <c r="A21" s="25" t="inlineStr">
        <is>
          <t>2412361</t>
        </is>
      </c>
      <c r="B21" s="26" t="inlineStr">
        <is>
          <t>Theoretical Physics From Quantum Fields to the Cosmos</t>
        </is>
      </c>
      <c r="C21" s="25" t="inlineStr">
        <is>
          <t>Continuing Grant</t>
        </is>
      </c>
      <c r="D21" s="25" t="inlineStr">
        <is>
          <t>true</t>
        </is>
      </c>
      <c r="E21" s="25" t="inlineStr">
        <is>
          <t>08/16/2024</t>
        </is>
      </c>
      <c r="F21" s="25" t="inlineStr">
        <is>
          <t>09/01/2024</t>
        </is>
      </c>
      <c r="G21" s="25" t="inlineStr">
        <is>
          <t>08/31/2027</t>
        </is>
      </c>
      <c r="H21" s="25" t="inlineStr">
        <is>
          <t>2024</t>
        </is>
      </c>
      <c r="I21" s="27" t="n">
        <v>1310000</v>
      </c>
      <c r="J21" s="27" t="n">
        <v>1310000</v>
      </c>
      <c r="K21" s="25" t="inlineStr">
        <is>
          <t>Marc</t>
        </is>
      </c>
      <c r="L21" s="25" t="inlineStr">
        <is>
          <t>Kamionkowski</t>
        </is>
      </c>
      <c r="M21" s="25" t="inlineStr">
        <is>
          <t>kamion@pha.jhu.edu</t>
        </is>
      </c>
      <c r="N21" s="25" t="inlineStr">
        <is>
          <t>David E Kaplan dkaplan@pha.jhu.edu, Surjeet Rajendran srajend4@jhu.edu, Ibrahima Bah Iboubah@jhu.edu</t>
        </is>
      </c>
      <c r="O21" s="25" t="inlineStr">
        <is>
          <t>Marc Kamionkowski</t>
        </is>
      </c>
      <c r="P21" s="25" t="inlineStr">
        <is>
          <t>Keith Dienes</t>
        </is>
      </c>
      <c r="Q21" s="25" t="inlineStr">
        <is>
          <t>kdienes@nsf.gov</t>
        </is>
      </c>
      <c r="R21" s="25" t="inlineStr">
        <is>
          <t>THE JOHNS HOPKINS UNIVERSITY</t>
        </is>
      </c>
      <c r="S21" s="25" t="inlineStr">
        <is>
          <t>BALTIMORE</t>
        </is>
      </c>
      <c r="T21" s="25" t="inlineStr">
        <is>
          <t>MD</t>
        </is>
      </c>
      <c r="U21" s="25" t="inlineStr">
        <is>
          <t>212182608</t>
        </is>
      </c>
      <c r="V21" s="25" t="inlineStr">
        <is>
          <t>FTMTDMBR29C7</t>
        </is>
      </c>
      <c r="W21" s="25" t="inlineStr">
        <is>
          <t>BALTIMORE</t>
        </is>
      </c>
      <c r="X21" s="25" t="inlineStr">
        <is>
          <t>MD</t>
        </is>
      </c>
      <c r="Y21" s="25" t="inlineStr">
        <is>
          <t>MPS</t>
        </is>
      </c>
      <c r="Z21" s="25" t="inlineStr">
        <is>
          <t>PHY</t>
        </is>
      </c>
      <c r="AA21" s="26" t="inlineStr">
        <is>
          <t>Elem. Particle Physics/Theory</t>
        </is>
      </c>
      <c r="AB21" s="25" t="inlineStr"/>
      <c r="AC21" s="25" t="inlineStr">
        <is>
          <t>128600</t>
        </is>
      </c>
      <c r="AD21" s="25" t="inlineStr"/>
      <c r="AE21" s="25" t="inlineStr">
        <is>
          <t>47.049</t>
        </is>
      </c>
      <c r="AF21" s="25" t="inlineStr">
        <is>
          <t>1</t>
        </is>
      </c>
      <c r="AG21" s="25" t="inlineStr">
        <is>
          <t>08/16/2024</t>
        </is>
      </c>
      <c r="AH21" s="25" t="inlineStr">
        <is>
          <t>08/26/2025</t>
        </is>
      </c>
      <c r="AI21" s="26" t="inlineStr">
        <is>
          <t>This award funds the research activities of Professors Marc Kamionkowski, David E. Kaplan. Surjeet Rajendran, and Ibrahima Bah at Johns Hopkins University.  
The quest to understand the fundamental laws of physics is at an important nexus. While we await the discovery of new physics at accelerator experiments and ongoing dark-matter searches, existing null results have forced theorists to discard long-held theoretical preferences and think deeply about entirely new ideas for fundamental physics and novel experimental techniques to test these new ideas. This effort is also advanced by the development of new mathematical tools to help understand the structure of the theories from which our models of fundamental physics are constructed.  The effort is now also advanced by exciting new discoveries in cosmology and astrophysics.   The JHU particle-theory group tackles central problems at the juncture of theory and experiment in particle physics and cosmology and in the formal mathematical tools that are the foundation of physical theories.   This group will advance new ideas for cosmological observations and fundamental-physics searches and propose new mechanisms and models that may ultimately help in the grand synthesis of nature's laws.   The research will proceed in parallel with the training of students and postdocs who will evolve to become scientific leaders, and the group will remain vigorous in its quest to communicate the excitement of particle physics and cosmology to the general public.  Theoretial research along these lines advances the national interest by optimizing our investment in major experimental facilities in their quest to understand new physical laws.
More specifically, Profs. Kaplan and Rajendran will  develop new non-accelerator directions for exploring the fundamental laws of nature while pushing to pursue a deeper understanding of the phenomena we see.  Rajendran will do related work on new ideas for the fundamental laws of quantum mechanics.  Kamionkowski proposes to develop a suite of new early-Universe probes with forthcoming observations, and to study novel models to account for the Hubble tension.  Bah proposes work in geometric engineering of QFTs and in the study of a new class of “topological stars” and their possible phenomenological consequences.  There is much overlap between the boundaries of the research interests of the group members, and novel ideas will emerge from collaborations that emerge from these intersections.
This award reflects NSF's statutory mission and has been deemed worthy of support through evaluation using the Foundation's intellectual merit and broader impacts review criteria.</t>
        </is>
      </c>
      <c r="AJ21" s="26" t="inlineStr"/>
    </row>
    <row r="22" ht="18" customHeight="1">
      <c r="A22" s="22" t="inlineStr">
        <is>
          <t>2400168</t>
        </is>
      </c>
      <c r="B22" s="23" t="inlineStr">
        <is>
          <t>CAS: Collaborative Research: Physics-Informed Machine Learning for Electrochemical C-N Coupling by Metal-Organic Materials</t>
        </is>
      </c>
      <c r="C22" s="22" t="inlineStr">
        <is>
          <t>Standard Grant</t>
        </is>
      </c>
      <c r="D22" s="22" t="inlineStr">
        <is>
          <t>true</t>
        </is>
      </c>
      <c r="E22" s="22" t="inlineStr">
        <is>
          <t>07/29/2024</t>
        </is>
      </c>
      <c r="F22" s="22" t="inlineStr">
        <is>
          <t>09/01/2024</t>
        </is>
      </c>
      <c r="G22" s="22" t="inlineStr">
        <is>
          <t>08/31/2027</t>
        </is>
      </c>
      <c r="H22" s="22" t="inlineStr">
        <is>
          <t>2024</t>
        </is>
      </c>
      <c r="I22" s="24" t="n">
        <v>431454</v>
      </c>
      <c r="J22" s="24" t="n">
        <v>431454</v>
      </c>
      <c r="K22" s="22" t="inlineStr">
        <is>
          <t>Sara</t>
        </is>
      </c>
      <c r="L22" s="22" t="inlineStr">
        <is>
          <t>Thoi</t>
        </is>
      </c>
      <c r="M22" s="22" t="inlineStr">
        <is>
          <t>sarathoi@jhu.edu</t>
        </is>
      </c>
      <c r="N22" s="22" t="inlineStr"/>
      <c r="O22" s="22" t="inlineStr">
        <is>
          <t>Sara Thoi</t>
        </is>
      </c>
      <c r="P22" s="22" t="inlineStr">
        <is>
          <t>Kenneth Moloy</t>
        </is>
      </c>
      <c r="Q22" s="22" t="inlineStr">
        <is>
          <t>kmoloy@nsf.gov</t>
        </is>
      </c>
      <c r="R22" s="22" t="inlineStr">
        <is>
          <t>THE JOHNS HOPKINS UNIVERSITY</t>
        </is>
      </c>
      <c r="S22" s="22" t="inlineStr">
        <is>
          <t>BALTIMORE</t>
        </is>
      </c>
      <c r="T22" s="22" t="inlineStr">
        <is>
          <t>MD</t>
        </is>
      </c>
      <c r="U22" s="22" t="inlineStr">
        <is>
          <t>212182608</t>
        </is>
      </c>
      <c r="V22" s="22" t="inlineStr">
        <is>
          <t>FTMTDMBR29C7</t>
        </is>
      </c>
      <c r="W22" s="22" t="inlineStr">
        <is>
          <t>BALTIMORE</t>
        </is>
      </c>
      <c r="X22" s="22" t="inlineStr">
        <is>
          <t>MD</t>
        </is>
      </c>
      <c r="Y22" s="22" t="inlineStr">
        <is>
          <t>MPS</t>
        </is>
      </c>
      <c r="Z22" s="22" t="inlineStr">
        <is>
          <t>CHE</t>
        </is>
      </c>
      <c r="AA22" s="23" t="inlineStr">
        <is>
          <t>Chemical Catalysis</t>
        </is>
      </c>
      <c r="AB22" s="22" t="inlineStr">
        <is>
          <t>SusChEM, CAS-Critical Aspects of Sustainability, Advanced Manufacturing</t>
        </is>
      </c>
      <c r="AC22" s="22" t="inlineStr">
        <is>
          <t>688400</t>
        </is>
      </c>
      <c r="AD22" s="22" t="inlineStr">
        <is>
          <t>8248, 090Z, 8037</t>
        </is>
      </c>
      <c r="AE22" s="22" t="inlineStr">
        <is>
          <t>47.049</t>
        </is>
      </c>
      <c r="AF22" s="22" t="inlineStr">
        <is>
          <t>1</t>
        </is>
      </c>
      <c r="AG22" s="22" t="inlineStr">
        <is>
          <t>07/29/2024</t>
        </is>
      </c>
      <c r="AH22" s="22" t="inlineStr">
        <is>
          <t>07/29/2024</t>
        </is>
      </c>
      <c r="AI22" s="23" t="inlineStr">
        <is>
          <t>With the support of the Chemical Catalysis program in the Division of Chemistry, Professor V. Sara Thoi of Johns Hopkins University and Professor Fanglin Che of University of Massachusetts, Lowell are studying the design of catalytic materials for electrochemical synthesis of organonitrogen compounds. Organonitrogen species are a ubiquitous class of compounds used in a variety of industries, from agriculture to pharmaceuticals. Urea, for instance, is an important fertilizer, but it is industrially derived from a highly energy-intensive process called the Haber-Bosch process. Electrochemical transformation of abundant carbon and nitrogen molecules, such as carbon dioxide and nitrogen gas, to organonitrogen products thus emerges as an attractive approach. Electrochemical synthesis can be conducted at room temperature, ambient pressure, and in water. Moreover, the rise in renewably generated electricity provides a path towards decarbonization of the chemical manufacturing industry. This project uses a combination of computational and experimental chemistry to design, synthesize, and test new catalysts for forming commercially valuable organonitrogen compounds, such as urea, acetamide, and N-methylamines. The expected outcomes are the fundamental knowledge for activating small molecules to form carbon-nitrogen bonds, the identification of design parameters for synthesizing efficient catalysts, and the broader applications of electrochemical synthesis to a new class of commodity chemicals. Additionally, the educational goal of this project is to engage young students in the STEM field via the publicly accessible video series, “Meet the Chemist,” which highlights the unique and diverse paths of undergraduate students to chemical research. Moreover, a novel theory course on applied machine learning for computational catalysis will be developed for undergraduate and graduate students. The scientific and educational merits of this project advance the frontiers of chemical synthesis, promote public engagement between researchers and young students, and align with our national interest for decarbonization.
With the support of the Chemical Catalysis program in the Division of Chemistry, Professor V. Sara Thoi of Johns Hopkins University and Professor Fanglin Che of University of Massachusetts, Lowell are studying the design of catalytic materials for electrochemical synthesis of organonitrogen compounds. This project will focus on a class of metal-organic materials called boron imidazolate frameworks (BIFs) for electrochemical C-N coupling to form commercially valuable products, such as urea, acetamide, and N-methylamines. Owing to their synthetic tunability, BIFs provide facile access to a range of isostructural metal-organic materials to identify structure-function relationships, serving as an ideal materials platform for fundamental insights to catalytic mechanisms. This project has three objectives: i) identify the structure-function relationships between the electronics of the BIFs and C-N coupling, ii) observe key intermediates via in situ vibrational spectroscopy, and iii) develop physics-informed machine learning to identify design criteria for new BIF catalysts.  Together, this knowledge will be used to explore the scope of C-N coupling products, using inexpensive and abundant carbon and nitrogen precursors such as carbon dioxide, aldehyde, ketones, dinitrogen, nitrite, nitrates, and amines. Additionally, we will expand an existing video series, called “Meet the Chemist,” to highlight the unique and diverse paths of undergraduate students to chemical research. The videos, which are publicly available, are designed to encourage young students to learn that people of all backgrounds can engage in STEM research. Moreover, a novel theory course on applied machine learning for computational catalysis will be developed for undergraduate and graduate students. Along with these broader outreach goals, this project aims to enhance the utility of electrochemical synthesis for a wide range of industrially relevant compounds, thereby creating opportunities to decarbonize the chemical industry.
This award reflects NSF's statutory mission and has been deemed worthy of support through evaluation using the Foundation's intellectual merit and broader impacts review criteria.</t>
        </is>
      </c>
      <c r="AJ22" s="23" t="inlineStr"/>
    </row>
    <row r="23" ht="18" customHeight="1">
      <c r="A23" s="25" t="inlineStr">
        <is>
          <t>2438914</t>
        </is>
      </c>
      <c r="B23" s="26" t="inlineStr">
        <is>
          <t>Conference: CI PAOS: FAIROS Research Coordination Network PI Workshop</t>
        </is>
      </c>
      <c r="C23" s="25" t="inlineStr">
        <is>
          <t>Standard Grant</t>
        </is>
      </c>
      <c r="D23" s="25" t="inlineStr">
        <is>
          <t>false</t>
        </is>
      </c>
      <c r="E23" s="25" t="inlineStr">
        <is>
          <t>08/09/2024</t>
        </is>
      </c>
      <c r="F23" s="25" t="inlineStr">
        <is>
          <t>09/01/2024</t>
        </is>
      </c>
      <c r="G23" s="25" t="inlineStr">
        <is>
          <t>08/31/2025</t>
        </is>
      </c>
      <c r="H23" s="25" t="inlineStr">
        <is>
          <t>2024</t>
        </is>
      </c>
      <c r="I23" s="27" t="n">
        <v>65554</v>
      </c>
      <c r="J23" s="27" t="n">
        <v>65554</v>
      </c>
      <c r="K23" s="25" t="inlineStr">
        <is>
          <t>David</t>
        </is>
      </c>
      <c r="L23" s="25" t="inlineStr">
        <is>
          <t>Elbert</t>
        </is>
      </c>
      <c r="M23" s="25" t="inlineStr">
        <is>
          <t>elbert@jhu.edu</t>
        </is>
      </c>
      <c r="N23" s="25" t="inlineStr"/>
      <c r="O23" s="25" t="inlineStr">
        <is>
          <t>David Elbert</t>
        </is>
      </c>
      <c r="P23" s="25" t="inlineStr">
        <is>
          <t>Plato Smith</t>
        </is>
      </c>
      <c r="Q23" s="25" t="inlineStr">
        <is>
          <t>plsmith@nsf.gov</t>
        </is>
      </c>
      <c r="R23" s="25" t="inlineStr">
        <is>
          <t>THE JOHNS HOPKINS UNIVERSITY</t>
        </is>
      </c>
      <c r="S23" s="25" t="inlineStr">
        <is>
          <t>BALTIMORE</t>
        </is>
      </c>
      <c r="T23" s="25" t="inlineStr">
        <is>
          <t>MD</t>
        </is>
      </c>
      <c r="U23" s="25" t="inlineStr">
        <is>
          <t>212182608</t>
        </is>
      </c>
      <c r="V23" s="25" t="inlineStr">
        <is>
          <t>FTMTDMBR29C7</t>
        </is>
      </c>
      <c r="W23" s="25" t="inlineStr">
        <is>
          <t>BALTIMORE</t>
        </is>
      </c>
      <c r="X23" s="25" t="inlineStr">
        <is>
          <t>MD</t>
        </is>
      </c>
      <c r="Y23" s="25" t="inlineStr">
        <is>
          <t>CSE</t>
        </is>
      </c>
      <c r="Z23" s="25" t="inlineStr">
        <is>
          <t>OAC</t>
        </is>
      </c>
      <c r="AA23" s="26" t="inlineStr">
        <is>
          <t>NSF Public Access Initiative</t>
        </is>
      </c>
      <c r="AB23" s="25" t="inlineStr">
        <is>
          <t>CONFERENCE AND WORKSHOPS</t>
        </is>
      </c>
      <c r="AC23" s="25" t="inlineStr">
        <is>
          <t>741400</t>
        </is>
      </c>
      <c r="AD23" s="25" t="inlineStr">
        <is>
          <t>7556</t>
        </is>
      </c>
      <c r="AE23" s="25" t="inlineStr">
        <is>
          <t>47.070</t>
        </is>
      </c>
      <c r="AF23" s="25" t="inlineStr">
        <is>
          <t>1</t>
        </is>
      </c>
      <c r="AG23" s="25" t="inlineStr">
        <is>
          <t>08/09/2024</t>
        </is>
      </c>
      <c r="AH23" s="25" t="inlineStr">
        <is>
          <t>08/09/2024</t>
        </is>
      </c>
      <c r="AI23" s="26" t="inlineStr">
        <is>
          <t>NSF FAIROS Research Coordination Networks (RCNs) work to build and enhance coordination of researchers and other stakeholders advancing Findable, Accessible, Interoperable, and Reusable (FAIR) data principles and Open Science (OS) practices. The initial cohort of 10 awards span a wide range of disciplines and have advanced FAIR-OS efforts as well as convened RCN-specific events. To broaden their impact and focus future directions, it is an appropriate time to take stock of RCN efforts and work together to both contextualize successes and clarify gaps as needed to plan sustained efforts in FAIR and Open Science across the US Science research landscape.
This PI Meeting will support a community-driven and community-focused effort to help define the role that federal agencies can play in accelerating the pace of FAIROS. The workshop will bring together the research teams in their varied stages of maturity to encourage and support those in their early years while providing new ideas for more mature efforts facing persistent gaps.
This award reflects NSF's statutory mission and has been deemed worthy of support through evaluation using the Foundation's intellectual merit and broader impacts review criteria.</t>
        </is>
      </c>
      <c r="AJ23" s="26" t="inlineStr">
        <is>
          <t>&lt;div class="porColContainerWBG"&gt;
&lt;div class="porContentCol"&gt;&lt;p&gt;The FAIROS Research Coordination Network (RCN) PI Workshop convened leaders from ten FAIROS-RCNs, key NSF program staff, and partner agencies to strengthen coordination across research communities working to advance FAIR (Findable, Accessible, Interoperable, Reusable) and open science practices. Held at the Johns Hopkins University Bloomberg Center in Washington, DC on January 13&amp;ndash;15, 2025, the workshop was designed to identify shared priorities, accelerate cross-network collaboration, and refine how the FAIROS RCN community communicates its value to research, education, and society.&lt;/p&gt;
&lt;p&gt;A central goal was to build durable connections among networks and stakeholders. The workshop hosted 36 participants, including multiple representatives from all ten FAIROS-RCNs and program leadership from NSF (including OAC, TIP, and GEO), as well as representatives from DOE (including BES and the Chief Data Officer of Jefferson Laboratories), NASA, and NIH. This multi-agency engagement enabled direct dialogue about emerging opportunities, alignment with federal data and open science priorities, and pathways for sustained collaboration.&lt;/p&gt;
&lt;p&gt;The workshop combined structured panels, network presentations, and facilitated discussions. Each RCN presented an overview of its scientific domain, community needs, and early outcomes from its first year, enabling participants to compare approaches and identify complementary strengths. Facilitated sessions focused on four shared themes: (1) interdisciplinary collaboration and knowledge sharing, (2) reproducibility and open science practices, (3) sustaining or spinning off FAIROS activities beyond the award period, and (4) common themes for articulating FAIROS and RCN impact and value propositions. Agency Program Directors contributed informative presentations and panels that clarified programmatic perspectives and highlighted practical considerations for broad adoption of open, reusable research outputs.&lt;/p&gt;
&lt;p&gt;Key outcomes included documented session that provide actionable summaries and cross-RCN insights for continued coordination. The workshop also initiated planning and early drafts for a FAIROS RCN &amp;ldquo;impact perspective&amp;rdquo; publication, aimed at communicating concrete examples of how coordinated, open-science community infrastructure improves research efficiency, transparency, and reuse. Follow-up planning has been conducted to pursue publication in the coming year and extend the broader impacts of the award by translating lessons learned for a wide scientific audience.&lt;/p&gt;
&lt;p&gt;Overall, the workshop advanced the intellectual merit of the award by enabling rigorous community synthesis across diverse domains. Workshop participants identified shared challenges, effective practices, and coordination strategies that improve the quality and reproducibility of research. It advanced broader impacts by strengthening a national community of practice around FAIR and open science, connecting networks with federal stakeholders, and producing concrete materials and plans to amplify impact examples and sustain collaboration beyond the award lifecycle.&lt;/p&gt;
&lt;p&gt;&amp;nbsp;&lt;/p&gt;
&lt;p&gt;&amp;nbsp;&lt;/p&gt;&lt;br&gt;
&lt;p&gt;
 Last Modified: 01/05/2026&lt;br&gt;
Modified by: David&amp;nbsp;Elbert&lt;/p&gt;&lt;/div&gt;
&lt;div class="porSideCol"
&gt;&lt;/div&gt;
&lt;/div&gt;</t>
        </is>
      </c>
    </row>
    <row r="24" ht="18" customHeight="1">
      <c r="A24" s="22" t="inlineStr">
        <is>
          <t>2429041</t>
        </is>
      </c>
      <c r="B24" s="23" t="inlineStr">
        <is>
          <t>NSF Trainee Travel Grant for the 2024 International Conference on DNA Computing and Molecular Programming (DNA30)</t>
        </is>
      </c>
      <c r="C24" s="22" t="inlineStr">
        <is>
          <t>Standard Grant</t>
        </is>
      </c>
      <c r="D24" s="22" t="inlineStr">
        <is>
          <t>false</t>
        </is>
      </c>
      <c r="E24" s="22" t="inlineStr">
        <is>
          <t>06/12/2024</t>
        </is>
      </c>
      <c r="F24" s="22" t="inlineStr">
        <is>
          <t>09/01/2024</t>
        </is>
      </c>
      <c r="G24" s="22" t="inlineStr">
        <is>
          <t>08/31/2025</t>
        </is>
      </c>
      <c r="H24" s="22" t="inlineStr">
        <is>
          <t>2024</t>
        </is>
      </c>
      <c r="I24" s="24" t="n">
        <v>20000</v>
      </c>
      <c r="J24" s="24" t="n">
        <v>20000</v>
      </c>
      <c r="K24" s="22" t="inlineStr">
        <is>
          <t>Rebecca</t>
        </is>
      </c>
      <c r="L24" s="22" t="inlineStr">
        <is>
          <t>Schulman</t>
        </is>
      </c>
      <c r="M24" s="22" t="inlineStr">
        <is>
          <t>schulman.rk@gmail.com</t>
        </is>
      </c>
      <c r="N24" s="22" t="inlineStr"/>
      <c r="O24" s="22" t="inlineStr">
        <is>
          <t>Rebecca Schulman</t>
        </is>
      </c>
      <c r="P24" s="22" t="inlineStr">
        <is>
          <t>Stephanie Gage</t>
        </is>
      </c>
      <c r="Q24" s="22" t="inlineStr">
        <is>
          <t>sgage@nsf.gov</t>
        </is>
      </c>
      <c r="R24" s="22" t="inlineStr">
        <is>
          <t>THE JOHNS HOPKINS UNIVERSITY</t>
        </is>
      </c>
      <c r="S24" s="22" t="inlineStr">
        <is>
          <t>BALTIMORE</t>
        </is>
      </c>
      <c r="T24" s="22" t="inlineStr">
        <is>
          <t>MD</t>
        </is>
      </c>
      <c r="U24" s="22" t="inlineStr">
        <is>
          <t>212182608</t>
        </is>
      </c>
      <c r="V24" s="22" t="inlineStr">
        <is>
          <t>FTMTDMBR29C7</t>
        </is>
      </c>
      <c r="W24" s="22" t="inlineStr">
        <is>
          <t>BALTIMORE</t>
        </is>
      </c>
      <c r="X24" s="22" t="inlineStr">
        <is>
          <t>MD</t>
        </is>
      </c>
      <c r="Y24" s="22" t="inlineStr">
        <is>
          <t>CSE</t>
        </is>
      </c>
      <c r="Z24" s="22" t="inlineStr">
        <is>
          <t>CCF</t>
        </is>
      </c>
      <c r="AA24" s="23" t="inlineStr">
        <is>
          <t>FET-Fndtns of Emerging Tech</t>
        </is>
      </c>
      <c r="AB24" s="22" t="inlineStr">
        <is>
          <t>CONFERENCE AND WORKSHOPS, BIO COMPUTING</t>
        </is>
      </c>
      <c r="AC24" s="22" t="inlineStr">
        <is>
          <t>089Y00</t>
        </is>
      </c>
      <c r="AD24" s="22" t="inlineStr">
        <is>
          <t>7556, 7946</t>
        </is>
      </c>
      <c r="AE24" s="22" t="inlineStr">
        <is>
          <t>47.070</t>
        </is>
      </c>
      <c r="AF24" s="22" t="inlineStr">
        <is>
          <t>1</t>
        </is>
      </c>
      <c r="AG24" s="22" t="inlineStr">
        <is>
          <t>06/12/2024</t>
        </is>
      </c>
      <c r="AH24" s="22" t="inlineStr">
        <is>
          <t>06/12/2024</t>
        </is>
      </c>
      <c r="AI24" s="23" t="inlineStr">
        <is>
          <t>The 30th International Conference on DNA Computing and Molecular Programming (DNA30) is the premier forum where scientists come together to advance molecular-scale engineering and biology. This interdisciplinary conference bridges computation, biology, and nanotechnology and attracts top researchers in the fields of computer science, mathematics, chemistry, molecular biology, and engineering. This support will give a new generation of molecular programming researchers the opportunity to present their work and interact with students and senior researchers from other institutions.  The scope of topics include: control of molecular folding and self-assembly of nano- and micro-structures; demonstration of biomolecular switches and circuits that process chemical information in vitro and in cells; molecular motors and molecular robots; studies of fault-tolerance and error correction in molecular self-assembly and molecular computation; synthetic biology and molecular evolution; DNA data storage; and software tools for analysis, simulation, and design of molecular structures and circuits. These topics have applications spanning engineering, physics, chemistry, biology, medicine, and education.
DNA30 will be held at Johns Hopkins University in Baltimore, MD on September 16-20, 2024. Conference organizers will support travel of up to 25 students and post-doctoral researchers who are either US citizens or enrolled at US institutions. Trainees who plan to present their work at the conference will be prioritized for awards and especially those from institutions that would otherwise be unable to afford conference attendance and members of groups underrepresented in STEM research. The awards will support registration, travel, and accommodations for students. The availability of this support will foster diverse conference attendance, fostering the unique perspectives required to advance human knowledge and develop new technologies.
This award reflects NSF's statutory mission and has been deemed worthy of support through evaluation using the Foundation's intellectual merit and broader impacts review criteria.</t>
        </is>
      </c>
      <c r="AJ24" s="23" t="inlineStr">
        <is>
          <t>&lt;div class="porColContainerWBG"&gt;
&lt;div class="porContentCol"&gt;&lt;p&gt;NSF Project Outcomes Report for the General Public&lt;/p&gt;
&lt;p&gt;Award: NSF Trainee Travel Grant for the 2024 International Conference on DNA Computing and Molecular Programming (DNA30)&lt;/p&gt;
&lt;p&gt;Federal Award ID: 2429041&lt;/p&gt;
&lt;p&gt;DNA computing and molecular programming is an interdisciplinary area that uses DNA and other biomolecules as programmable building blocks to create nanoscale structures and systems that can compute, sense, and self-assemble. The field brings together ideas from computer science, chemistry, physics, biology, and engineering, and it provides a foundation for future technologies such as programmable nanomaterials and molecular diagnostics.&lt;/p&gt;
&lt;p&gt;This NSF award supported trainee participation in the 30th International Conference on DNA Computing and Molecular Programming (DNA30), held September 16&amp;ndash;20, 2024 at Johns Hopkins University in Baltimore, Maryland. The conference provided a forum for researchers to present new results, compare methods, and build collaborations across disciplines. DNA30 hosted 164 registered participants and featured peer-reviewed technical presentations (5 full papers and 17 contributed oral presentations) and 68 poster presentations, alongside a related workshop on computational materials design and biosensing using nucleic acids.&lt;/p&gt;
&lt;p&gt;The award provided participant-support funding for trainee travel and registration through a competitive travel award program. Applications were reviewed by a committee using criteria designed to maximize fairness and scientific participation: awards were capped at $800 per trainee; total support per research group was limited; eligibility prioritized trainees who were contributing authors on a conference or workshop talk/poster; and applicants without a documented contribution were required to provide a brief advisor confirmation. The selection process also excluded trainees receiving separate Seeman Travel Awards and included adjustments for unusually large applicant pools and long-distance travel, when needed.&lt;/p&gt;
&lt;p&gt;A total of 35 trainees (graduate students and postdoctoral researchers) were offered travel/registration awards with individual reimbursement caps ranging from $266 to $800. The total of the individual caps was $23,500, and actual reimbursements were based on documented travel and registration expenses. The NSF participant-support budget for trainee travel was fully expended.&lt;/p&gt;
&lt;p&gt;Project outcomes include increased access for early-career researchers to the DNA30 technical program, expanded presentation opportunities, and strengthened professional networks across institutions. Dissemination occurred through conference talks and posters and through the public proceedings for DNA30&amp;rsquo;s peer-reviewed papers (see https://dna-computing.org/proceedings.html).&lt;/p&gt;
&lt;p&gt;This award strengthened the intellectual merit of DNA30 by ensuring that emerging research results were presented and discussed by the trainees generating them, and by broadening technical exchange across institutions and disciplines. Broader impacts include reducing financial barriers for early-career scientists, strengthening an interdisciplinary research community, and accelerating dissemination of advances at the interface of computation and molecular science. The broader DNA30 event was additionally supported by Johns Hopkins University, Science Robotics, and ISNSCE through non-travel contributions such as event costs and non-travel student awards; NSF support under this award was dedicated to trainee travel and registration.&lt;/p&gt;
&lt;p&gt;&amp;nbsp;&lt;/p&gt;&lt;br&gt;
&lt;p&gt;
 Last Modified: 01/13/2026&lt;br&gt;
Modified by: Rebecca&amp;nbsp;Schulman&lt;/p&gt;&lt;/div&gt;
&lt;div class="porSideCol"
&gt;&lt;/div&gt;
&lt;/div&gt;</t>
        </is>
      </c>
    </row>
    <row r="25" ht="18" customHeight="1">
      <c r="A25" s="25" t="inlineStr">
        <is>
          <t>2435452</t>
        </is>
      </c>
      <c r="B25" s="26" t="inlineStr">
        <is>
          <t>Conference: AI Aspirations</t>
        </is>
      </c>
      <c r="C25" s="25" t="inlineStr">
        <is>
          <t>Standard Grant</t>
        </is>
      </c>
      <c r="D25" s="25" t="inlineStr">
        <is>
          <t>false</t>
        </is>
      </c>
      <c r="E25" s="25" t="inlineStr">
        <is>
          <t>08/20/2024</t>
        </is>
      </c>
      <c r="F25" s="25" t="inlineStr">
        <is>
          <t>09/01/2024</t>
        </is>
      </c>
      <c r="G25" s="25" t="inlineStr">
        <is>
          <t>02/28/2025</t>
        </is>
      </c>
      <c r="H25" s="25" t="inlineStr">
        <is>
          <t>2024</t>
        </is>
      </c>
      <c r="I25" s="27" t="n">
        <v>99776</v>
      </c>
      <c r="J25" s="27" t="n">
        <v>99776</v>
      </c>
      <c r="K25" s="25" t="inlineStr">
        <is>
          <t>Alexis</t>
        </is>
      </c>
      <c r="L25" s="25" t="inlineStr">
        <is>
          <t>Battle</t>
        </is>
      </c>
      <c r="M25" s="25" t="inlineStr">
        <is>
          <t>ajbattle@jhu.edu</t>
        </is>
      </c>
      <c r="N25" s="25" t="inlineStr"/>
      <c r="O25" s="25" t="inlineStr">
        <is>
          <t>Alexis Battle</t>
        </is>
      </c>
      <c r="P25" s="25" t="inlineStr">
        <is>
          <t>Kerstin Mukerji</t>
        </is>
      </c>
      <c r="Q25" s="25" t="inlineStr">
        <is>
          <t>kmukerji@nsf.gov</t>
        </is>
      </c>
      <c r="R25" s="25" t="inlineStr">
        <is>
          <t>THE JOHNS HOPKINS UNIVERSITY</t>
        </is>
      </c>
      <c r="S25" s="25" t="inlineStr">
        <is>
          <t>BALTIMORE</t>
        </is>
      </c>
      <c r="T25" s="25" t="inlineStr">
        <is>
          <t>MD</t>
        </is>
      </c>
      <c r="U25" s="25" t="inlineStr">
        <is>
          <t>212182608</t>
        </is>
      </c>
      <c r="V25" s="25" t="inlineStr">
        <is>
          <t>FTMTDMBR29C7</t>
        </is>
      </c>
      <c r="W25" s="25" t="inlineStr">
        <is>
          <t>BALTIMORE</t>
        </is>
      </c>
      <c r="X25" s="25" t="inlineStr">
        <is>
          <t>MD</t>
        </is>
      </c>
      <c r="Y25" s="25" t="inlineStr">
        <is>
          <t>TIP</t>
        </is>
      </c>
      <c r="Z25" s="25" t="inlineStr">
        <is>
          <t>TF</t>
        </is>
      </c>
      <c r="AA25" s="26" t="inlineStr">
        <is>
          <t>TIP-CHIPS KTA-1 AI-ML</t>
        </is>
      </c>
      <c r="AB25" s="25" t="inlineStr"/>
      <c r="AC25" s="25" t="inlineStr">
        <is>
          <t>306Y00</t>
        </is>
      </c>
      <c r="AD25" s="25" t="inlineStr"/>
      <c r="AE25" s="25" t="inlineStr">
        <is>
          <t>47.084</t>
        </is>
      </c>
      <c r="AF25" s="25" t="inlineStr">
        <is>
          <t>1</t>
        </is>
      </c>
      <c r="AG25" s="25" t="inlineStr">
        <is>
          <t>08/20/2024</t>
        </is>
      </c>
      <c r="AH25" s="25" t="inlineStr">
        <is>
          <t>08/20/2024</t>
        </is>
      </c>
      <c r="AI25" s="26" t="inlineStr">
        <is>
          <t>The AI Inspirations conference focuses on emerging research and current developments in artificial intelligence (AI). This conference will identify cross-sector and cross-agency efforts within the domain of AI research and development (R&amp;D) as they relate to both societal and economic impact as well as national security. In addition, this event aims to be responsive to the recent White House Executive Order on the Safe, Secure, and Trustworthy Development and Use of Artificial Intelligence (AI EO). 
Johns Hopkins University (JHU) will convene 300 science and technology leaders, policymakers, and researchers to share current efforts in AI R&amp;D and identify effective strategies related to AI R&amp;D translation within the U.S. The proposed event will consist of panel discussions on critical topics, technical demonstrations, and plenary sessions designed to showcase and further accelerate the development of responsible and secure AI solutions. Topics to be discussed during this conference will include accurate weather forecasts, resilient power grids, accelerated drug development, personalized didactive learning tools, transformative infrastructure, rapid design of materials for semiconductor manufacturing, and effective/efficient government services.
This award reflects NSF's statutory mission and has been deemed worthy of support through evaluation using the Foundation's intellectual merit and broader impacts review criteria.</t>
        </is>
      </c>
      <c r="AJ25" s="26" t="inlineStr">
        <is>
          <t>&lt;div class="porColContainerWBG"&gt;
&lt;div class="porContentCol"&gt;&lt;p&gt;The Johns Hopkins University (JHU) hosted the "AI Aspirations" conference on June 13, 2024, at the Hopkins Bloomberg Center in Washington, D.C. with support from an NSF conference grant. This conference built upon work that the University has accomplished supporting the mission of the National Science Foundation (NSF) and the White House Office of Science and Technology Policy (OSTP). &amp;ldquo;AI Aspirations&amp;rdquo; was able to project a vision for harnessing artificial intelligence (AI) to achieve America&amp;rsquo;s great ambition through the development of formal and informal channels of communication between the attendees of the conference and the U.S. government. Leaders from across a variety of sectors gathered alongside experts from the government and JHU to discuss how AI can be used to solve industry challenges and ways to combat its potential risks to meet future goals.&lt;/p&gt;
&lt;p&gt;The conference brought experts together to discuss six critical areas of science and engineering where AI is poised to have a significant impact. AI risk and privacy were also discussed and the Johns Hopkins University Applied Physics Lab (APL) brought in a number of demonstrations to provide an interactive example on the capabilities of AI. Johns Hopkins University and APL were able to lend expertise on these critical areas of federal concern and provide the latest insight into how AI will continue to shape the way these areas are impacted.&lt;/p&gt;
&lt;p&gt;At the conference, agencies detailed seven aspirations demonstrating how AI could be developed to help support their missions. These aspirations included strengthening the electrical grid to mitigate rising cybersecurity breaches and security risks, support clean energy goals, and expand capacity demands; accelerating the adoption of new semiconductor manufacturing materials to address safety concerns, enhance chip performance, and bolster American industry competitiveness; lowering roadway facilities through aggregating data and analytics on previous accidents to predict potential incidents and help improve transportation safety; providing advanced weather forecasting models for rapid response to weather emergencies (helping to save lives); implementing personalized education and instruction to meet individual student needs and transform fundamental barriers in the classroom; discovering, targeting, and developing new drugs and therapies at a rapid rate compared to past products; and improving customer service for accessing healthcare, loans, social security benefits, and other federal resources. Panel discussions also highlighted the importance of developing approaches for government data sharing to help respect user choice and provide constraints on data usage, democratizing access to AI, advancing public trust in AI, and incorporating workers&amp;rsquo; and stakeholders&amp;rsquo; input on AI tools.&lt;/p&gt;
&lt;p&gt;Attendees and speakers included: Arati Prabhakar (Director of the Office of Science and Technology Policy), Wade Shen (Director for Proactive Health at ARPA-H), Nate Jones (Commissioner at the National Center for Special Education Research), Michael Morgan (Assistant Secretary of Commerce for Environmental Observation and Prediction at NOAA), Evelyn Wang (Director of ARPA-E), Dana Weinstein (Principal Assistant Director for Industrial Innovation and Special Advisor for CHIPS R&amp;amp;D at OSTP), Ben Levine (Director of Strategic Initiatives at the Department of Transportation), Mo Earley (Portfolio Lead for Federal High Impact Service Providers at the Office of Management and Budget), Gina Raimondo (Secretary of Commerce), Miguel Cardona (Secretary of Education), Shalanda Young (Director of the White House Office of Management and Budget), Rob Califf (Food and Drug Administration Commissioner), Senator Amy Klobuchar, Senator Mark Warner, Representative Don Beyer, and Robert Hampshire (Chief Science Officer for the Department of Transportation).&lt;/p&gt;
&lt;p&gt;The AI Aspirations conference served as a launchpad for the discovery and dissemination of the most up to date knowledge on AI and its impact. While it is still too early to understand the long-term impact of this conference, the conversations, panel discussions, and connections made will surely create ripple effects that help us understand how AI will affect the job market, in what ways it will advance or hinder human knowledge development, how it will impact cybersecurity, and much more. This call to action regarding what many have called "the most consequential technology of our lives" will help to achieve a future of better health, opportunities for all, a government that works for every American, and more.&lt;/p&gt;
&lt;p&gt;&amp;nbsp;&lt;/p&gt;&lt;br&gt;
&lt;p&gt;
 Last Modified: 05/19/2025&lt;br&gt;
Modified by: Alexis&amp;nbsp; &amp;nbsp;Battle&lt;/p&gt;&lt;/div&gt;
&lt;div class="porSideCol"
&gt;&lt;/div&gt;
&lt;/div&gt;</t>
        </is>
      </c>
    </row>
    <row r="26" ht="18" customHeight="1">
      <c r="A26" s="22" t="inlineStr">
        <is>
          <t>2417387</t>
        </is>
      </c>
      <c r="B26" s="23" t="inlineStr">
        <is>
          <t>SBP: Political Geography, Electoral Institutions, and the Evolution of Women's Voting Patterns in Rich Democracies</t>
        </is>
      </c>
      <c r="C26" s="22" t="inlineStr">
        <is>
          <t>Standard Grant</t>
        </is>
      </c>
      <c r="D26" s="22" t="inlineStr">
        <is>
          <t>false</t>
        </is>
      </c>
      <c r="E26" s="22" t="inlineStr">
        <is>
          <t>08/30/2024</t>
        </is>
      </c>
      <c r="F26" s="22" t="inlineStr">
        <is>
          <t>09/01/2024</t>
        </is>
      </c>
      <c r="G26" s="22" t="inlineStr">
        <is>
          <t>04/25/2025</t>
        </is>
      </c>
      <c r="H26" s="22" t="inlineStr">
        <is>
          <t>2024</t>
        </is>
      </c>
      <c r="I26" s="24" t="n">
        <v>249998</v>
      </c>
      <c r="J26" s="24" t="n">
        <v>249998</v>
      </c>
      <c r="K26" s="22" t="inlineStr">
        <is>
          <t>Dawn</t>
        </is>
      </c>
      <c r="L26" s="22" t="inlineStr">
        <is>
          <t>Teele</t>
        </is>
      </c>
      <c r="M26" s="22" t="inlineStr">
        <is>
          <t>dteele1@jhu.edu</t>
        </is>
      </c>
      <c r="N26" s="22" t="inlineStr"/>
      <c r="O26" s="22" t="inlineStr">
        <is>
          <t>Dawn L Teele</t>
        </is>
      </c>
      <c r="P26" s="22" t="inlineStr">
        <is>
          <t>Lee Walker</t>
        </is>
      </c>
      <c r="Q26" s="22" t="inlineStr">
        <is>
          <t>lwalker@nsf.gov</t>
        </is>
      </c>
      <c r="R26" s="22" t="inlineStr">
        <is>
          <t>THE JOHNS HOPKINS UNIVERSITY</t>
        </is>
      </c>
      <c r="S26" s="22" t="inlineStr">
        <is>
          <t>BALTIMORE</t>
        </is>
      </c>
      <c r="T26" s="22" t="inlineStr">
        <is>
          <t>MD</t>
        </is>
      </c>
      <c r="U26" s="22" t="inlineStr">
        <is>
          <t>212182608</t>
        </is>
      </c>
      <c r="V26" s="22" t="inlineStr">
        <is>
          <t>FTMTDMBR29C7</t>
        </is>
      </c>
      <c r="W26" s="22" t="inlineStr">
        <is>
          <t>BALTIMORE</t>
        </is>
      </c>
      <c r="X26" s="22" t="inlineStr">
        <is>
          <t>MD</t>
        </is>
      </c>
      <c r="Y26" s="22" t="inlineStr">
        <is>
          <t>SBE</t>
        </is>
      </c>
      <c r="Z26" s="22" t="inlineStr">
        <is>
          <t>SES</t>
        </is>
      </c>
      <c r="AA26" s="23" t="inlineStr">
        <is>
          <t>SBP-Science of Broadening Part, AIB-Acctble Institutions&amp;Behav</t>
        </is>
      </c>
      <c r="AB26" s="22" t="inlineStr">
        <is>
          <t>Science of Broadening Participation, GRADUATE INVOLVEMENT</t>
        </is>
      </c>
      <c r="AC26" s="22" t="inlineStr">
        <is>
          <t>110Y00, 120Y00</t>
        </is>
      </c>
      <c r="AD26" s="22" t="inlineStr">
        <is>
          <t>8050, 9179</t>
        </is>
      </c>
      <c r="AE26" s="22" t="inlineStr">
        <is>
          <t>47.075</t>
        </is>
      </c>
      <c r="AF26" s="22" t="inlineStr">
        <is>
          <t>1</t>
        </is>
      </c>
      <c r="AG26" s="22" t="inlineStr">
        <is>
          <t>08/30/2024</t>
        </is>
      </c>
      <c r="AH26" s="22" t="inlineStr">
        <is>
          <t>05/16/2025</t>
        </is>
      </c>
      <c r="AI26" s="23" t="inlineStr">
        <is>
          <t>This project aims to challenge established narratives about women's political behavior after suffrage by investigating the roles of electoral institutions and political geography in shaping gender gaps in voter turnout and preferences. The theoretical contribution lies in developing a new framework that explains how electoral systems and political geography drive variations in women's political participation across different regions and geographic space. Specifically, it posits that proportional representation and compulsory voting systems both diminish gender gaps in turnout, but that preference gaps at the national level depend on how local political geography combine with the demography of turnout.  Empirically, the project tests these propositions in cross-national and within-country investigations, focusing on places that enfranchised women from 1906-1945 and under-studied areas. These cases provide unique institutional variation vis-à-vis more highly studied cases. By integrating new political domains, the study can better test the theory that electoral competition and political geography significantly affect gender gaps after suffrage. 
The methods involve collecting and digitizing historical electoral returns and census data, cross-nationally and then with a sub-national focus on polling-station-level data and state-level data. Advanced AI-assisted transcription techniques will be employed to process handwritten records. This approach will enable a comprehensive analysis of the gender turnout gap and preference gap across different electoral systems. By leveraging these unique datasets, the project will provide new insights into the effects of electoral institutions on women's political behavior, contributing to a broader understanding of political participation. The findings will have significant implications for political development theories and will support the education and training of underrepresented students in quantitative research methods.
This award reflects NSF's statutory mission and has been deemed worthy of support through evaluation using the Foundation's intellectual merit and broader impacts review criteria.</t>
        </is>
      </c>
      <c r="AJ26" s="23" t="inlineStr"/>
    </row>
    <row r="27" ht="18" customHeight="1">
      <c r="A27" s="25" t="inlineStr">
        <is>
          <t>2350270</t>
        </is>
      </c>
      <c r="B27" s="26" t="inlineStr">
        <is>
          <t>Two Complementary Approaches to Site-Selective HAT and ET Reactions</t>
        </is>
      </c>
      <c r="C27" s="25" t="inlineStr">
        <is>
          <t>Standard Grant</t>
        </is>
      </c>
      <c r="D27" s="25" t="inlineStr">
        <is>
          <t>true</t>
        </is>
      </c>
      <c r="E27" s="25" t="inlineStr">
        <is>
          <t>03/26/2024</t>
        </is>
      </c>
      <c r="F27" s="25" t="inlineStr">
        <is>
          <t>09/01/2024</t>
        </is>
      </c>
      <c r="G27" s="25" t="inlineStr">
        <is>
          <t>08/31/2027</t>
        </is>
      </c>
      <c r="H27" s="25" t="inlineStr">
        <is>
          <t>2024</t>
        </is>
      </c>
      <c r="I27" s="27" t="n">
        <v>595000</v>
      </c>
      <c r="J27" s="27" t="n">
        <v>595000</v>
      </c>
      <c r="K27" s="25" t="inlineStr">
        <is>
          <t>Thomas</t>
        </is>
      </c>
      <c r="L27" s="25" t="inlineStr">
        <is>
          <t>Lectka</t>
        </is>
      </c>
      <c r="M27" s="25" t="inlineStr">
        <is>
          <t>lectka@jhu.edu</t>
        </is>
      </c>
      <c r="N27" s="25" t="inlineStr"/>
      <c r="O27" s="25" t="inlineStr">
        <is>
          <t>Thomas Lectka</t>
        </is>
      </c>
      <c r="P27" s="25" t="inlineStr">
        <is>
          <t>Stephen Boyes</t>
        </is>
      </c>
      <c r="Q27" s="25" t="inlineStr">
        <is>
          <t>sboyes@nsf.gov</t>
        </is>
      </c>
      <c r="R27" s="25" t="inlineStr">
        <is>
          <t>THE JOHNS HOPKINS UNIVERSITY</t>
        </is>
      </c>
      <c r="S27" s="25" t="inlineStr">
        <is>
          <t>BALTIMORE</t>
        </is>
      </c>
      <c r="T27" s="25" t="inlineStr">
        <is>
          <t>MD</t>
        </is>
      </c>
      <c r="U27" s="25" t="inlineStr">
        <is>
          <t>212182608</t>
        </is>
      </c>
      <c r="V27" s="25" t="inlineStr">
        <is>
          <t>FTMTDMBR29C7</t>
        </is>
      </c>
      <c r="W27" s="25" t="inlineStr">
        <is>
          <t>Baltimore</t>
        </is>
      </c>
      <c r="X27" s="25" t="inlineStr">
        <is>
          <t>MD</t>
        </is>
      </c>
      <c r="Y27" s="25" t="inlineStr">
        <is>
          <t>MPS</t>
        </is>
      </c>
      <c r="Z27" s="25" t="inlineStr">
        <is>
          <t>CHE</t>
        </is>
      </c>
      <c r="AA27" s="26" t="inlineStr">
        <is>
          <t>Chemical Synthesis</t>
        </is>
      </c>
      <c r="AB27" s="25" t="inlineStr">
        <is>
          <t>Advanced Manufacturing</t>
        </is>
      </c>
      <c r="AC27" s="25" t="inlineStr">
        <is>
          <t>687800</t>
        </is>
      </c>
      <c r="AD27" s="25" t="inlineStr">
        <is>
          <t>8037</t>
        </is>
      </c>
      <c r="AE27" s="25" t="inlineStr">
        <is>
          <t>47.049</t>
        </is>
      </c>
      <c r="AF27" s="25" t="inlineStr">
        <is>
          <t>1</t>
        </is>
      </c>
      <c r="AG27" s="25" t="inlineStr">
        <is>
          <t>03/26/2024</t>
        </is>
      </c>
      <c r="AH27" s="25" t="inlineStr">
        <is>
          <t>03/26/2024</t>
        </is>
      </c>
      <c r="AI27" s="26" t="inlineStr">
        <is>
          <t>With support from the Chemical Synthesis Program in the Division of Chemistry, Professor Thomas Lectka of Johns Hopkins University will study new ways to selectively modify one specific carbon-hydrogen or carbon-carbon bond in a large complex molecular scaffold.  In recent years, organic chemists have sought to synthesize new derivatives of complex natural products of medicinal value through reactions at one particular site among many possible sites in a molecule.  There are major challenges for site selectivity in such  important late stage modifications with the potential to afford derivatives of practical value to chemistry, biology, and medicine.  The Lectka research team will approach such site selectivity through two different strategies.  The first strategy employs hydrogen bonds to guide reactivity in well-structured substrates, leading to site-selective functionalization reactions.  In the second strategy, undesirable sites in a complex substrate are deactivated through the binding of a metal ion to the fragment that needs to be neutralized. The proposed research activities will provide a strong training platform for the professional development of graduate students and research experiences for undergraduate students. Professor Lectka and his research team will partner with the JHU Women in Science and Engineering (WISE) program, the Pioneer Program for high school students, and the Goucher Prison Education Partnership Program in outreach to the broader local and national communities.
Under this award, the Lectka research team will involve directing intermolecular hydrogen atom transfer (HAT) and, in some cases, electron transfer (ET) to specific sites within a variety of complex molecules through two fundamental and complementary strategies.  The first strategy will employ hydrogen bonds to guide HAT and ET in well-structured substrates through functional group direction, leading to site-selective functionalization reactions to form new carbon-fluorine and carbon-carbon bonds diastereoselectively and potentially enantioselectively.  In the second strategy, undesirable sites in a complex substrate will be deactivated through the binding of a metal ion to the fragment that needs to be neutralized.  In the case of an electrophilic reaction, positive charge repulsion, induced steric effects, and electron withdrawal will provide the necessary deactivation and proof of principle.  This new approach contrasts with the traditional approach to site selectivity involving the use of highly engineered reagents, catalysts, or enzymes to react exclusively at a desired site.  Site selective functionalization in complex molecular settings is a current great challenge in chemistry motivated by the desire to be able to study and modify natural products and practical pharmaceutical targets without having to individually prepare each analogue from basic building blocks.  A new, complementary approach to siteselectivity would thus be of great import to fields such as medical and biological chemistry.
This award reflects NSF's statutory mission and has been deemed worthy of support through evaluation using the Foundation's intellectual merit and broader impacts review criteria.</t>
        </is>
      </c>
      <c r="AJ27" s="26" t="inlineStr"/>
    </row>
    <row r="28" ht="18" customHeight="1">
      <c r="A28" s="22" t="inlineStr">
        <is>
          <t>2404058</t>
        </is>
      </c>
      <c r="B28" s="23" t="inlineStr">
        <is>
          <t>Collaborative Research: Electron-induced Reactivity of Organometallic Precursors for FEBID and Resists for EUV Lithography</t>
        </is>
      </c>
      <c r="C28" s="22" t="inlineStr">
        <is>
          <t>Standard Grant</t>
        </is>
      </c>
      <c r="D28" s="22" t="inlineStr">
        <is>
          <t>true</t>
        </is>
      </c>
      <c r="E28" s="22" t="inlineStr">
        <is>
          <t>05/02/2024</t>
        </is>
      </c>
      <c r="F28" s="22" t="inlineStr">
        <is>
          <t>09/01/2024</t>
        </is>
      </c>
      <c r="G28" s="22" t="inlineStr">
        <is>
          <t>08/31/2027</t>
        </is>
      </c>
      <c r="H28" s="22" t="inlineStr">
        <is>
          <t>2024</t>
        </is>
      </c>
      <c r="I28" s="24" t="n">
        <v>354551</v>
      </c>
      <c r="J28" s="24" t="n">
        <v>354551</v>
      </c>
      <c r="K28" s="22" t="inlineStr">
        <is>
          <t>Howard</t>
        </is>
      </c>
      <c r="L28" s="22" t="inlineStr">
        <is>
          <t>Fairbrother</t>
        </is>
      </c>
      <c r="M28" s="22" t="inlineStr">
        <is>
          <t>howardf@jhu.edu</t>
        </is>
      </c>
      <c r="N28" s="22" t="inlineStr"/>
      <c r="O28" s="22" t="inlineStr">
        <is>
          <t>Howard Fairbrother</t>
        </is>
      </c>
      <c r="P28" s="22" t="inlineStr">
        <is>
          <t>Stephen Boyes</t>
        </is>
      </c>
      <c r="Q28" s="22" t="inlineStr">
        <is>
          <t>sboyes@nsf.gov</t>
        </is>
      </c>
      <c r="R28" s="22" t="inlineStr">
        <is>
          <t>THE JOHNS HOPKINS UNIVERSITY</t>
        </is>
      </c>
      <c r="S28" s="22" t="inlineStr">
        <is>
          <t>BALTIMORE</t>
        </is>
      </c>
      <c r="T28" s="22" t="inlineStr">
        <is>
          <t>MD</t>
        </is>
      </c>
      <c r="U28" s="22" t="inlineStr">
        <is>
          <t>212182608</t>
        </is>
      </c>
      <c r="V28" s="22" t="inlineStr">
        <is>
          <t>FTMTDMBR29C7</t>
        </is>
      </c>
      <c r="W28" s="22" t="inlineStr">
        <is>
          <t>BALTIMORE</t>
        </is>
      </c>
      <c r="X28" s="22" t="inlineStr">
        <is>
          <t>MD</t>
        </is>
      </c>
      <c r="Y28" s="22" t="inlineStr">
        <is>
          <t>MPS</t>
        </is>
      </c>
      <c r="Z28" s="22" t="inlineStr">
        <is>
          <t>CHE</t>
        </is>
      </c>
      <c r="AA28" s="23" t="inlineStr">
        <is>
          <t>Macromolec/Supramolec/Nano</t>
        </is>
      </c>
      <c r="AB28" s="22" t="inlineStr">
        <is>
          <t>Advanced Manufacturing, NANO NON-SOLIC SCI &amp; ENG AWD</t>
        </is>
      </c>
      <c r="AC28" s="22" t="inlineStr">
        <is>
          <t>688500</t>
        </is>
      </c>
      <c r="AD28" s="22" t="inlineStr">
        <is>
          <t>8037, 7237</t>
        </is>
      </c>
      <c r="AE28" s="22" t="inlineStr">
        <is>
          <t>47.049</t>
        </is>
      </c>
      <c r="AF28" s="22" t="inlineStr">
        <is>
          <t>1</t>
        </is>
      </c>
      <c r="AG28" s="22" t="inlineStr">
        <is>
          <t>05/02/2024</t>
        </is>
      </c>
      <c r="AH28" s="22" t="inlineStr">
        <is>
          <t>05/02/2024</t>
        </is>
      </c>
      <c r="AI28" s="23" t="inlineStr">
        <is>
          <t>With the support of the Macromolecular, Supramolecular and Nanochemistry Program in the Division of Chemistry, Professor Lisa McElwee White of the University of Florida, and Professor Howard Fairbrother of Johns Hopkins University will explore the underlying reactions involved in two technologically important processes, Focused Electron Beam-Induced Deposition (FEBID) and Extreme UltraViolet Lithography (EUVL). This is a synergistic collaboration between a synthetic chemist and a surface characterization chemist, respectively.  As electronic devices such as smartphones and laptops become smaller but have more capability, it is important to be able to create very precise nanostructured materials with exquisite molecular and spatial control. To continue to improve these technologies it is important to understand the chemical reactions responsible for creating these metal nanostructure so that their physical and chemical properties can be tailored for specific applications. Students involved in this project present their work at scientific meetings, publish papers in peer reviewed journals and participate in lab exchanges. To communicate the excitement of science to the general public, participants in the project are generating a series of 90-second "Tiny Tech" radio modules and podcasts that feature real world applications of chemistry and chemistry-based nanoscience.
FEBID is a bottom-up, direct-write lithographic process where 3-D nanostructures are created by localized, electron-induced reactions of organometallic precursors adsorbed onto substrates. In contrast, EUVL is a state of the art, top-down lithographic technique where 13.5nm light initiates solubility switching in inorganic photoresists as a route to create nanopatterns for the semiconductor industry. The link between FEBID and EUVL is the role low energy (&lt; 100eV) secondary electrons play in driving the chemical reactions. For FEBID to emerge as a robust nanofabrication technique and to create the next generation of EUVL inorganic photoresists, it is crucial to develop a holistic understanding of electron interactions with organometallic complexes, including identifying key structure-reactivity relationships. To acquire this crucial information, we will use surface science studies that use FEBID precursors and inorganic EUVL resists designed to test hypotheses and/or answer specific questions on the structure-activity relationships for electron-mediated organometallic reactivity. The research effort will be augmented by domestic and international collaborations.
This award reflects NSF's statutory mission and has been deemed worthy of support through evaluation using the Foundation's intellectual merit and broader impacts review criteria.</t>
        </is>
      </c>
      <c r="AJ28" s="23" t="inlineStr"/>
    </row>
    <row r="29" ht="18" customHeight="1">
      <c r="A29" s="25" t="inlineStr">
        <is>
          <t>2346004</t>
        </is>
      </c>
      <c r="B29" s="26" t="inlineStr">
        <is>
          <t>Collaborative Research: NRT-Al: AI-driven next-generation semiconductor materials and devices</t>
        </is>
      </c>
      <c r="C29" s="25" t="inlineStr">
        <is>
          <t>Standard Grant</t>
        </is>
      </c>
      <c r="D29" s="25" t="inlineStr">
        <is>
          <t>true</t>
        </is>
      </c>
      <c r="E29" s="25" t="inlineStr">
        <is>
          <t>08/05/2024</t>
        </is>
      </c>
      <c r="F29" s="25" t="inlineStr">
        <is>
          <t>09/01/2024</t>
        </is>
      </c>
      <c r="G29" s="25" t="inlineStr">
        <is>
          <t>08/31/2028</t>
        </is>
      </c>
      <c r="H29" s="25" t="inlineStr">
        <is>
          <t>2024</t>
        </is>
      </c>
      <c r="I29" s="27" t="n">
        <v>2475715</v>
      </c>
      <c r="J29" s="27" t="n">
        <v>2475715</v>
      </c>
      <c r="K29" s="25" t="inlineStr">
        <is>
          <t>Paulette</t>
        </is>
      </c>
      <c r="L29" s="25" t="inlineStr">
        <is>
          <t>Clancy</t>
        </is>
      </c>
      <c r="M29" s="25" t="inlineStr">
        <is>
          <t>pclancy3@jhu.edu</t>
        </is>
      </c>
      <c r="N29" s="25" t="inlineStr"/>
      <c r="O29" s="25" t="inlineStr">
        <is>
          <t>Paulette Clancy</t>
        </is>
      </c>
      <c r="P29" s="25" t="inlineStr">
        <is>
          <t>Melissa F. Baird</t>
        </is>
      </c>
      <c r="Q29" s="25" t="inlineStr">
        <is>
          <t>mbaird@nsf.gov</t>
        </is>
      </c>
      <c r="R29" s="25" t="inlineStr">
        <is>
          <t>THE JOHNS HOPKINS UNIVERSITY</t>
        </is>
      </c>
      <c r="S29" s="25" t="inlineStr">
        <is>
          <t>BALTIMORE</t>
        </is>
      </c>
      <c r="T29" s="25" t="inlineStr">
        <is>
          <t>MD</t>
        </is>
      </c>
      <c r="U29" s="25" t="inlineStr">
        <is>
          <t>212182608</t>
        </is>
      </c>
      <c r="V29" s="25" t="inlineStr">
        <is>
          <t>FTMTDMBR29C7</t>
        </is>
      </c>
      <c r="W29" s="25" t="inlineStr">
        <is>
          <t>BALTIMORE</t>
        </is>
      </c>
      <c r="X29" s="25" t="inlineStr">
        <is>
          <t>MD</t>
        </is>
      </c>
      <c r="Y29" s="25" t="inlineStr">
        <is>
          <t>EDU</t>
        </is>
      </c>
      <c r="Z29" s="25" t="inlineStr">
        <is>
          <t>DGE</t>
        </is>
      </c>
      <c r="AA29" s="26" t="inlineStr">
        <is>
          <t>NSF Research Traineeship (NRT)</t>
        </is>
      </c>
      <c r="AB29" s="25" t="inlineStr">
        <is>
          <t>AI Education/Workforce Develop, Microelectronics and Semiconductors, WOMEN, MINORITY, DISABLED, NEC, GRADUATE INVOLVEMENT, SCIENCE, MATH, ENG &amp; TECH EDUCATION</t>
        </is>
      </c>
      <c r="AC29" s="25" t="inlineStr">
        <is>
          <t>199700</t>
        </is>
      </c>
      <c r="AD29" s="25" t="inlineStr">
        <is>
          <t>093Z, 106Z, 9102, 9179, SMET</t>
        </is>
      </c>
      <c r="AE29" s="25" t="inlineStr">
        <is>
          <t>47.076</t>
        </is>
      </c>
      <c r="AF29" s="25" t="inlineStr">
        <is>
          <t>1</t>
        </is>
      </c>
      <c r="AG29" s="25" t="inlineStr">
        <is>
          <t>08/05/2024</t>
        </is>
      </c>
      <c r="AH29" s="25" t="inlineStr">
        <is>
          <t>08/05/2024</t>
        </is>
      </c>
      <c r="AI29" s="26" t="inlineStr">
        <is>
          <t>Electronic devices, from cell phones to entertainment consoles to medical devices and laptops, have become a mainstay of our society. All of these devices rely on the availability of electricity and tiny chips that constitute the “brain” of the device. Critical to this technology is the availability of a trained workforce with the multidisciplinary skill set who are able to produce these tiny and complex machines as well as innovate new technologies. The microelectronics industries where chips are manufactured constantly update their products to take advantage of new materials with better properties and improved ways of fabricating them from raw feedstocks. There is a strong need to commercialize these products efficiently, sustainably and cheaply. Increasingly, this means incorporating machine learning (ML) and artificial intelligence (AI) into the design and fabrication process. This National Science Foundation Research Traineeship (NRT) award to Johns Hopkins and Morgan State Universities will prepare students fluent in both the science underpinning electronic device fabrication and AI, and thereby prepare them for the tens of thousands of new jobs that the microelectronics industry will need to fill over the next decade. Trainees will also become skilled in basic business principles to acquaint them with the skills they will need to understand supply chain concerns, make strong business cases for new designs, and learn to become entrepreneurs. Our program will also educate trainees to understand career options in this broad business sector and provide them with the skills to be able to communicate with and manage individuals, teams and investors. They will learn about the cutting edge of chip design and manufacturing, from next-generation materials capable of handling different environments and applications to quantum computers. Our efforts will be targeted towards creating opportunities for those who traditionally do not have access to such high-tech career options and help create mentoring relationships that last a lifetime.
As we near the limit of advances in microchip capacity and scaling, there is an imperative to become more creative with the use of new materials, new processing approaches, and new device designs to meet the insatiable need for continued performance growth. Recent Chips and Science Act legislation also stimulated new approaches to associated challenges in materials discovery and in the incorporation of new processes and device architectures. This training program will educate STEM graduate students to create the next generation of materials and devices driven by AI/ML integration. This innovative experiential educational program puts the student at the center of an individualized course of learning and career preparation. Trainees will be prepared to explore career options by acquiring customized skills needed for a specific career-focused track and will obtain path-distinguishing skills that will make them attractive hires. Their experiences include hands-on work in both physical and computational/AI labs; student training in funding oversight to teach leadership skills and ingenuity; presentation of a business plan to potential investors; participation in an internship at a venue relevant to their chosen track; intensive networking with domain experts; and exposure to career opportunities at annual interaction events. Four research thrusts explore advances in AI-Driven Development of: low-dimensional and quantum materials; materials for advanced semiconductor manufacturing; advanced computing hardware; and next-generation electronics for new environments and applications. 
The NSF Research Traineeship (NRT) Program is designed to encourage the development and implementation of bold, new potentially transformative models for STEM graduate education training. The program is dedicated to effective training of STEM graduate students in high priority interdisciplinary or convergent research areas through comprehensive traineeship models that are innovative, evidence-based, and aligned with changing workforce and research needs.
This award reflects NSF's statutory mission and has been deemed worthy of support through evaluation using the Foundation's intellectual merit and broader impacts review criteria.</t>
        </is>
      </c>
      <c r="AJ29" s="26" t="inlineStr"/>
    </row>
    <row r="30" ht="18" customHeight="1">
      <c r="A30" s="22" t="inlineStr">
        <is>
          <t>2449634</t>
        </is>
      </c>
      <c r="B30" s="23" t="inlineStr">
        <is>
          <t>CAREER: Discovery of the molecular mechanisms underlying microevolution of phenotypic plasticity in a developmental trait</t>
        </is>
      </c>
      <c r="C30" s="22" t="inlineStr">
        <is>
          <t>Continuing Grant</t>
        </is>
      </c>
      <c r="D30" s="22" t="inlineStr">
        <is>
          <t>false</t>
        </is>
      </c>
      <c r="E30" s="22" t="inlineStr">
        <is>
          <t>09/11/2024</t>
        </is>
      </c>
      <c r="F30" s="22" t="inlineStr">
        <is>
          <t>08/15/2024</t>
        </is>
      </c>
      <c r="G30" s="22" t="inlineStr">
        <is>
          <t>02/28/2025</t>
        </is>
      </c>
      <c r="H30" s="22" t="inlineStr">
        <is>
          <t>2024</t>
        </is>
      </c>
      <c r="I30" s="24" t="n">
        <v>21938</v>
      </c>
      <c r="J30" s="24" t="n">
        <v>530812</v>
      </c>
      <c r="K30" s="22" t="inlineStr">
        <is>
          <t>Erik</t>
        </is>
      </c>
      <c r="L30" s="22" t="inlineStr">
        <is>
          <t>Andersen</t>
        </is>
      </c>
      <c r="M30" s="22" t="inlineStr">
        <is>
          <t>erik.andersen@jhu.edu</t>
        </is>
      </c>
      <c r="N30" s="22" t="inlineStr"/>
      <c r="O30" s="22" t="inlineStr">
        <is>
          <t>Erik C Andersen</t>
        </is>
      </c>
      <c r="P30" s="22" t="inlineStr">
        <is>
          <t>Anna Allen</t>
        </is>
      </c>
      <c r="Q30" s="22" t="inlineStr">
        <is>
          <t>akallen@nsf.gov</t>
        </is>
      </c>
      <c r="R30" s="22" t="inlineStr">
        <is>
          <t>THE JOHNS HOPKINS UNIVERSITY</t>
        </is>
      </c>
      <c r="S30" s="22" t="inlineStr">
        <is>
          <t>BALTIMORE</t>
        </is>
      </c>
      <c r="T30" s="22" t="inlineStr">
        <is>
          <t>MD</t>
        </is>
      </c>
      <c r="U30" s="22" t="inlineStr">
        <is>
          <t>212182608</t>
        </is>
      </c>
      <c r="V30" s="22" t="inlineStr">
        <is>
          <t>FTMTDMBR29C7</t>
        </is>
      </c>
      <c r="W30" s="22" t="inlineStr">
        <is>
          <t>BALTIMORE</t>
        </is>
      </c>
      <c r="X30" s="22" t="inlineStr">
        <is>
          <t>MD</t>
        </is>
      </c>
      <c r="Y30" s="22" t="inlineStr">
        <is>
          <t>BIO</t>
        </is>
      </c>
      <c r="Z30" s="22" t="inlineStr">
        <is>
          <t>IOS</t>
        </is>
      </c>
      <c r="AA30" s="23" t="inlineStr">
        <is>
          <t>Animal Developmental Mechanism</t>
        </is>
      </c>
      <c r="AB30" s="22" t="inlineStr">
        <is>
          <t>CAREER-Faculty Erly Career Dev, MINORITY INVOLVEMENT -- BIO, UNDERGRADUATE EDUCATION, GRADUATE INVOLVEMENT</t>
        </is>
      </c>
      <c r="AC30" s="22" t="inlineStr">
        <is>
          <t>111900</t>
        </is>
      </c>
      <c r="AD30" s="22" t="inlineStr">
        <is>
          <t>1045, 1228, 9178, 9179</t>
        </is>
      </c>
      <c r="AE30" s="22" t="inlineStr">
        <is>
          <t>47.074</t>
        </is>
      </c>
      <c r="AF30" s="22" t="inlineStr">
        <is>
          <t>1</t>
        </is>
      </c>
      <c r="AG30" s="22" t="inlineStr">
        <is>
          <t>09/11/2024</t>
        </is>
      </c>
      <c r="AH30" s="22" t="inlineStr">
        <is>
          <t>09/11/2024</t>
        </is>
      </c>
      <c r="AI30" s="23" t="inlineStr">
        <is>
          <t>When organisms are exposed to environmental differences, like changes in temperature conditions, they can grow into alternative forms that are more adapted to particular environments. This project investigates how a nematode roundworm makes the decision to become a long-lived and stress-resistant form instead of a proliferative form that is stress-sensitive. Currently there is little understanding how these types of decisions are made at the molecular level. High-throughput measurements, genome sequencing, and genetic methods will be used to examine this mystery and lay the groundwork for future projects examining how animal development changes in responses to divergent environmental cues.  Undergraduate and high school student training is an important component of this grant.  High school teachers will develop classroom activities for STEM students in cooperation with the principal investigator and high school students will visit the laboratory to carry out hands on experiments with the worms.
Phenotypic plasticity, or the expression of different phenotypes by the same genotype, drives evolutionary adaptation to shifting environments. Despite numerous well-known examples, little is known about the genetic underpinnings and molecular mechanisms that generate phenotypic plasticity. The goal of this grant is to discover how microevolution of this plasticity occurs using the tractable metazoan system Caenorhabditis elegans. Depending on environmental conditions, these nematodes enter an alternative developmental fate, called dauer, or continue development to reproductive adults. Early larval-stage animals that sense high temperature, low food availability, and high population density initiate the development of the dauer stage. Once conditions improve, dauers re-enter development to become reproductive adults. Much of what is known about dauer comes from the study of a single laboratory strain. Although natural variation in dauer formation has been observed, the molecular mechanisms that lead to phenotypic differences remain unknown. An unbiased approach is needed to discover the genes that underlie natural variation in dauer formation in order to understand how phenotypic plasticity evolves. Species-wide association mapping will be performed using a novel high-throughput assay in order to identify loci that underlie differences in this developmental trait. These loci will be narrowed to candidate genes using well tested experimental and computational techniques and then variants will be validated using genome editing. These approaches will lead to discovery of the number and the sizes of genetic effects, the signatures of selection that occur at those loci, and then define the parts of the dauer network involved in the microevolution of phenotypic plasticity.
This award reflects NSF's statutory mission and has been deemed worthy of support through evaluation using the Foundation's intellectual merit and broader impacts review criteria.</t>
        </is>
      </c>
      <c r="AJ30" s="23" t="inlineStr">
        <is>
          <t>&lt;div class="porColContainerWBG"&gt;
&lt;div class="porContentCol"&gt;&lt;p&gt;&lt;span id="docs-internal-guid-45d55feb-7fff-af80-2c09-6a01148be584"&gt;
&lt;p dir="ltr"&gt;&lt;span&gt;Phenotypic plasticity, or the expression of different phenotypes by the same genotype, drives evolutionary adaptation to shifting environments. Despite numerous well known examples in plants and animals, little is known about the genetic underpinnings and molecular mechanisms that generate phenotypic plasticity in a species. Our goal was to use natural differences across the &lt;/span&gt;&lt;span&gt;Caenorhabditis elegans &lt;/span&gt;&lt;span&gt;species to understand how phenotypic plasticity in a phoretic dispersal trait varies at the molecular level.&amp;nbsp;&lt;/span&gt;&lt;/p&gt;
&lt;br /&gt;
&lt;p dir="ltr"&gt;&lt;span&gt;For more than 50 years, we have known about the &lt;/span&gt;&lt;span&gt;C. elegans &lt;/span&gt;&lt;span&gt;dauer plasticity trait where early larval stage animals make a decision based on food availability, temperature, and population density to either continue to proliferate or to enter a long-lived dispersal stage (dauer). Using a single laboratory-adapted strain, numerous laboratories defined the molecular pathways that control this decision, including numerous conserved signaling pathways that are identical with human pathways. These discoveries led to deep understanding of how cells respond to nutrients and decide to divide or not along with how the size of cells is controlled. Although these studies informed fundamental biological pathways shared among all animals, they only addressed one genetic strain within the species. If we want to understand the natural relevance and evolution of a trait, then we must look at differences across a species and use quantitative and population genetics to find the genes and pathways that cause individual differences.&amp;nbsp;&lt;/span&gt;&lt;/p&gt;
&lt;br /&gt;
&lt;p dir="ltr"&gt;&lt;span&gt;In this project, we built a high-throughput platform to quantitatively measure dauer formation for hundreds of wild &lt;/span&gt;&lt;span&gt;C. elegans &lt;/span&gt;&lt;span&gt;strains in many experimental replicates to detect phenotypic differences as small as 5%. We found ample natural differences in dauer formation across a set of wild strains and used those data to map the genes that underlie dauer variation. In our first study, we found a gene that encodes a receptor for a pheromone causes differences in dauer formation across the species. &lt;/span&gt;&lt;span&gt;C. elegans &lt;/span&gt;&lt;span&gt;releases pheromone to communicate population density. Some strains have two receptors to recognize this pheromone, but others only have one receptor. Those strains with two enter dauer more quickly and robustly than strains with only one. We found that, in natural environments, strains with two receptors are often found in areas where food is scarce. The greater dauer response allows these strains to enter dauer and disperse as soon as food resources become low. By contrast, strains with one receptor can grow to much higher population densities and outcompete strains with two receptors when food resources are plentiful. Adaptation to food availability likely drove the evolution of receptor number in &lt;/span&gt;&lt;span&gt;C. elegans&lt;/span&gt;&lt;span&gt;. Next, we investigated the pheromone cocktails released by wild &lt;/span&gt;&lt;span&gt;C. elegans &lt;/span&gt;&lt;span&gt;strains and discovered large differences in the production of pheromones, suggesting that these strains &amp;ldquo;speak&amp;rdquo; different languages. These language differences arose from molecular changes in the enzymes that make diverse pheromone structures.&amp;nbsp;&lt;/span&gt;&lt;/p&gt;
&lt;br /&gt;
&lt;p dir="ltr"&gt;&lt;span&gt;In this project, we also discovered a fundamental feature of genomes that allows adaptation to the natural environment. We found high levels of genomic differences In an area of the genome that was also correlated with differences in dauer formation. Using long-read and short-read sequencing, we characterized this region and found hundreds of others like it sprinkled all over the genomes of every wild &lt;/span&gt;&lt;span&gt;C. elegans &lt;/span&gt;&lt;span&gt;strain. We named them hyper-divergent regions (HDRs). Using statistical tests and genome assembly, we found that these regions were enriched for genes that are needed for environmental responses, especially pathogen responses, and they contain thousands of new genes never before seen in &lt;/span&gt;&lt;span&gt;C. elegans&lt;/span&gt;&lt;span&gt;. The major focus of the laboratory moving forward is the characterization of these new genes and their functions in pathogen responses. New gene annotations and pangenome gene set analyses show that they are pathogen sensing genes along with genes used to combat infections. Interestingly, several other groups have found HDRs in genomes of other nematodes, plants, and even humans. The overarching feature is that HDRs seems to underlie adaptation to environmental differences in all species.&lt;/span&gt;&lt;/p&gt;
&lt;br /&gt;&lt;span&gt;To date, the project produced fifteen peer-reviewed publications. All of the phenotypic and genotypic data on plasticity, gene expression, and metabolomics has been made publicly available. Several high school students, graduate and undergraduate students, and two postdocs were trained in molecular quantitative genetics and population genetics along with evolutionary theory. Citizen scientists, high school students, and several classrooms collected over 200 wild &lt;/span&gt;&lt;span&gt;Caenorhabditis &lt;/span&gt;&lt;span&gt;isolates that contributed to natural genetic and phenotypic differences across the &lt;/span&gt;&lt;span&gt;C. briggsae&lt;/span&gt;&lt;span&gt;, &lt;/span&gt;&lt;span&gt;C. elegans&lt;/span&gt;&lt;span&gt;, and &lt;/span&gt;&lt;span&gt;C. tropicalis &lt;/span&gt;&lt;span&gt;population-wide resources (CaeNDR). &lt;/span&gt;&lt;/span&gt;&lt;/p&gt;
&lt;p&gt;&amp;nbsp;&lt;/p&gt;&lt;br&gt;
&lt;p&gt;
 Last Modified: 04/18/2025&lt;br&gt;
Modified by: Erik&amp;nbsp;C&amp;nbsp;Andersen&lt;/p&gt;&lt;/div&gt;
&lt;div class="porSideCol"
&gt;&lt;/div&gt;
&lt;/div&gt;</t>
        </is>
      </c>
    </row>
    <row r="31" ht="18" customHeight="1">
      <c r="A31" s="25" t="inlineStr">
        <is>
          <t>2432298</t>
        </is>
      </c>
      <c r="B31" s="26" t="inlineStr">
        <is>
          <t>EAGER: EviAnn, a Novel Genome Annotation Software for Plant Genomes</t>
        </is>
      </c>
      <c r="C31" s="25" t="inlineStr">
        <is>
          <t>Standard Grant</t>
        </is>
      </c>
      <c r="D31" s="25" t="inlineStr">
        <is>
          <t>true</t>
        </is>
      </c>
      <c r="E31" s="25" t="inlineStr">
        <is>
          <t>07/15/2024</t>
        </is>
      </c>
      <c r="F31" s="25" t="inlineStr">
        <is>
          <t>08/15/2024</t>
        </is>
      </c>
      <c r="G31" s="25" t="inlineStr">
        <is>
          <t>05/31/2026</t>
        </is>
      </c>
      <c r="H31" s="25" t="inlineStr">
        <is>
          <t>2024</t>
        </is>
      </c>
      <c r="I31" s="27" t="n">
        <v>299916</v>
      </c>
      <c r="J31" s="27" t="n">
        <v>299916</v>
      </c>
      <c r="K31" s="25" t="inlineStr">
        <is>
          <t>Alexey</t>
        </is>
      </c>
      <c r="L31" s="25" t="inlineStr">
        <is>
          <t>Zimin</t>
        </is>
      </c>
      <c r="M31" s="25" t="inlineStr">
        <is>
          <t>aleksey.zimin@gmail.com</t>
        </is>
      </c>
      <c r="N31" s="25" t="inlineStr">
        <is>
          <t>Steven L Salzberg salzberg@jhu.edu</t>
        </is>
      </c>
      <c r="O31" s="25" t="inlineStr">
        <is>
          <t>Alexey Zimin</t>
        </is>
      </c>
      <c r="P31" s="25" t="inlineStr">
        <is>
          <t>Diane Jofuku Okamuro</t>
        </is>
      </c>
      <c r="Q31" s="25" t="inlineStr">
        <is>
          <t>dokamuro@nsf.gov</t>
        </is>
      </c>
      <c r="R31" s="25" t="inlineStr">
        <is>
          <t>THE JOHNS HOPKINS UNIVERSITY</t>
        </is>
      </c>
      <c r="S31" s="25" t="inlineStr">
        <is>
          <t>BALTIMORE</t>
        </is>
      </c>
      <c r="T31" s="25" t="inlineStr">
        <is>
          <t>MD</t>
        </is>
      </c>
      <c r="U31" s="25" t="inlineStr">
        <is>
          <t>212182608</t>
        </is>
      </c>
      <c r="V31" s="25" t="inlineStr">
        <is>
          <t>FTMTDMBR29C7</t>
        </is>
      </c>
      <c r="W31" s="25" t="inlineStr">
        <is>
          <t>BALTIMORE</t>
        </is>
      </c>
      <c r="X31" s="25" t="inlineStr">
        <is>
          <t>MD</t>
        </is>
      </c>
      <c r="Y31" s="25" t="inlineStr">
        <is>
          <t>BIO</t>
        </is>
      </c>
      <c r="Z31" s="25" t="inlineStr">
        <is>
          <t>IOS</t>
        </is>
      </c>
      <c r="AA31" s="26" t="inlineStr">
        <is>
          <t>Plant Genome Research Resource</t>
        </is>
      </c>
      <c r="AB31" s="25" t="inlineStr">
        <is>
          <t>Biotechnology, AGRICULTURAL BIOTECHNOLOGY, EAGER, PLANT GENOME RESEARCH PROJECT</t>
        </is>
      </c>
      <c r="AC31" s="25" t="inlineStr">
        <is>
          <t>757700</t>
        </is>
      </c>
      <c r="AD31" s="25" t="inlineStr">
        <is>
          <t>8038, 9109, 7916, 1329</t>
        </is>
      </c>
      <c r="AE31" s="25" t="inlineStr">
        <is>
          <t>47.074</t>
        </is>
      </c>
      <c r="AF31" s="25" t="inlineStr">
        <is>
          <t>1</t>
        </is>
      </c>
      <c r="AG31" s="25" t="inlineStr">
        <is>
          <t>07/15/2024</t>
        </is>
      </c>
      <c r="AH31" s="25" t="inlineStr">
        <is>
          <t>07/15/2024</t>
        </is>
      </c>
      <c r="AI31" s="26" t="inlineStr">
        <is>
          <t>Genome annotation has always been a central aspect of genome projects, and its importance has only grown in the wake of the past decade's rapid advances in genome sequencing and assembly. Annotation locates functional elements on a genome, including protein-coding genes, noncoding RNA genes, repeat elements, and other genomic features. Identification of protein-coding genes is generally considered to be the most important component of annotation, although the need for more information about noncoding RNAs is increasing rapidly. Large-scale quantitative genetic analyses such as Genome Wide Association Studies (GWAS) usually focus on mutations associated with protein-coding genes, including mutations that can disrupt a protein by introducing frameshifts or premature stop codons. If a gene is missing or incorrectly annotated, these analyses return spurious results or fail entirely. For these reasons, it is vitally important to correctly locate all protein-coding sequences on a genome. All leading annotation methods today, including the widely used MAKER and BRAKER systems, rely critically on ab initio gene finding programs that use gene structure and known signature motifs to detect genes. However, based on experimental observations with modern transcriptome sequencing data, this strategy seems to be no longer adequate. The goal of this EAGER project is to develop a radically different approach to genome annotation that relies mostly on experimental evidence, avoiding the use of ab initio gene finding techniques to locate functional elements on the genome. Software developed as well as instructional videos will be readily available through GitHub and YouTube, respectively. If successful, it is anticipated that EviAnn will be useful to any groups that are working on assembly and annotation of plant genomes, thus enabling both basic and applied research needed for advancing crop improvement and the U.S. bioeconomy.
This project will develop an open-source software package that is based on processing and cross-referencing different types of evidence, resulting in a faster and more transparent annotation process, where one can trace the origin of every annotated gene or transcript back to transcriptional evidence, to protein alignment evidence, or both. Specifically, the EviAnn (Evidence-based Annotation) pipeline, together with EviProt, a novel protein-to-genome alignment package, will produce genome annotation by combining transcript assemblies created from Illumina RNA-seq data, PacBio IsoSeq and Oxford Nanopore RNA/cDNA sequencing data, alignments of transcripts from closely related species (if available), as well as alignments of proteins from at least one other related species. If successful, the software developed will likely be widely adopted by the community because of its expected superior performance and ease of use, resulting in better gene annotation that will enable advances in plant breeding, discovery of genes for disease and pest resistance, and ultimately will advance the frontiers of plant genomic research. To further promote wide adoption of EviAnn, the project will produce a series of educational videos that describes basic usage of the software by walking through all the steps using examples from small genomes. For example, the videos will show users will demonstrate how to deal with common failures in installing and running the software and how to search for transcript and protein data for related species in public databases. All project outcomes will be made available to research communities through deposition at and dissemination through public repositories.
This award reflects NSF's statutory mission and has been deemed worthy of support through evaluation using the Foundation's intellectual merit and broader impacts review criteria.</t>
        </is>
      </c>
      <c r="AJ31" s="26" t="inlineStr"/>
    </row>
    <row r="32" ht="18" customHeight="1">
      <c r="A32" s="22" t="inlineStr">
        <is>
          <t>2428901</t>
        </is>
      </c>
      <c r="B32" s="23" t="inlineStr">
        <is>
          <t>Collaborative Research: Two-dimensional Perovskite Templated Organic Semiconductor Crystallization for Highly Tunable Exciton and Charge Transfer and Conversion</t>
        </is>
      </c>
      <c r="C32" s="22" t="inlineStr">
        <is>
          <t>Standard Grant</t>
        </is>
      </c>
      <c r="D32" s="22" t="inlineStr">
        <is>
          <t>true</t>
        </is>
      </c>
      <c r="E32" s="22" t="inlineStr">
        <is>
          <t>07/08/2024</t>
        </is>
      </c>
      <c r="F32" s="22" t="inlineStr">
        <is>
          <t>08/15/2024</t>
        </is>
      </c>
      <c r="G32" s="22" t="inlineStr">
        <is>
          <t>07/31/2027</t>
        </is>
      </c>
      <c r="H32" s="22" t="inlineStr">
        <is>
          <t>2024</t>
        </is>
      </c>
      <c r="I32" s="24" t="n">
        <v>371847</v>
      </c>
      <c r="J32" s="24" t="n">
        <v>371847</v>
      </c>
      <c r="K32" s="22" t="inlineStr">
        <is>
          <t>Arthur</t>
        </is>
      </c>
      <c r="L32" s="22" t="inlineStr">
        <is>
          <t>Bragg</t>
        </is>
      </c>
      <c r="M32" s="22" t="inlineStr">
        <is>
          <t>artbragg@jhu.edu</t>
        </is>
      </c>
      <c r="N32" s="22" t="inlineStr"/>
      <c r="O32" s="22" t="inlineStr">
        <is>
          <t>Arthur Bragg</t>
        </is>
      </c>
      <c r="P32" s="22" t="inlineStr">
        <is>
          <t>Paul Lane</t>
        </is>
      </c>
      <c r="Q32" s="22" t="inlineStr">
        <is>
          <t>plane@nsf.gov</t>
        </is>
      </c>
      <c r="R32" s="22" t="inlineStr">
        <is>
          <t>THE JOHNS HOPKINS UNIVERSITY</t>
        </is>
      </c>
      <c r="S32" s="22" t="inlineStr">
        <is>
          <t>BALTIMORE</t>
        </is>
      </c>
      <c r="T32" s="22" t="inlineStr">
        <is>
          <t>MD</t>
        </is>
      </c>
      <c r="U32" s="22" t="inlineStr">
        <is>
          <t>212182608</t>
        </is>
      </c>
      <c r="V32" s="22" t="inlineStr">
        <is>
          <t>FTMTDMBR29C7</t>
        </is>
      </c>
      <c r="W32" s="22" t="inlineStr">
        <is>
          <t>BALTIMORE</t>
        </is>
      </c>
      <c r="X32" s="22" t="inlineStr">
        <is>
          <t>MD</t>
        </is>
      </c>
      <c r="Y32" s="22" t="inlineStr">
        <is>
          <t>MPS</t>
        </is>
      </c>
      <c r="Z32" s="22" t="inlineStr">
        <is>
          <t>DMR</t>
        </is>
      </c>
      <c r="AA32" s="23" t="inlineStr">
        <is>
          <t>ELECTRONIC/PHOTONIC MATERIALS</t>
        </is>
      </c>
      <c r="AB32" s="22" t="inlineStr">
        <is>
          <t>Microelectronics and Semiconductors, NANO NON-SOLIC SCI &amp; ENG AWD, Clean Energy Technology, Solar Energy Capture&amp;Conver, Nanomaterials</t>
        </is>
      </c>
      <c r="AC32" s="22" t="inlineStr">
        <is>
          <t>177500</t>
        </is>
      </c>
      <c r="AD32" s="22" t="inlineStr">
        <is>
          <t>106Z, 7237, 8396, 8607, 8614</t>
        </is>
      </c>
      <c r="AE32" s="22" t="inlineStr">
        <is>
          <t>47.049</t>
        </is>
      </c>
      <c r="AF32" s="22" t="inlineStr">
        <is>
          <t>1</t>
        </is>
      </c>
      <c r="AG32" s="22" t="inlineStr">
        <is>
          <t>07/08/2024</t>
        </is>
      </c>
      <c r="AH32" s="22" t="inlineStr">
        <is>
          <t>07/08/2024</t>
        </is>
      </c>
      <c r="AI32" s="23" t="inlineStr">
        <is>
          <t>Nontechnical
Organic semiconductors and metal halide perovskites are intensively studied materials for a range of clean energy and consumer applications such as solar cells, flexible electronics, and sensors. Although organic semiconductors have great promise, they exhibit significantly different electrical and optical properties depending on the crystal structure created when assembled into solid films. This impacts their potential for use in optoelectronic devices. Although there is a well-recognized need to precisely control crystal structure to manipulate or optimize material behaviors, there is a very limited experimental toolkit for doing so. In this project, the researchers aim to use perovskites as a templating layer that can control the crystal properties of organic films deposited on top. X-ray scattering and ultrafast spectroscopy are used to evaluate the structural properties of organic thin films, and their effect on the optical and electronic properties. This approach allows investigators to finely tune the underlayer periodicity and chemistry simultaneously and thereby optimize the efficiency of energy and charge transport. This paradigm can be used to design better solar cells, light-emitting diodes, and other optoelectronic devices. Students are engaged in the research through training and guidance by the principal investigators and participate in regular meetings between the groups. In addition, the project team is committed to promoting diversity by encouraging recruitment and retention of underrepresented groups to the project, and leading outreach efforts in the community targeted towards middle and high school students.
Technical
The goal of this project is to develop two-dimensional metal halide perovskites (2D MHPs) as a crystallization templating tool for organic semiconductor (OSC) thin films, to reduce the disorder in crystalline packing, and to control packing geometries for tuning optoelectronic behaviors, including singlet fission and exciton transport. These controlled heterostructures can then be utilized for photovoltaic devices. Numerous research thrusts have focused on how changing the OSC chemistry can impact exciton transport and energy transfer, which generally result in large crystal structure changes, but there is relatively less information on how to finely control the solid-state structure of the OSC to control optoelectronic behavior, and by extension, device performance. This understanding is necessary for controlling processes such as singlet fission and exciton transport, as sub-Angstrom changes in molecular packing can cause significant changes in these behaviors. This project aims to address three objectives: 1) Understanding how 2D MHP thin films can control various OSC thin-film crystalline properties (order, polymorphism, orientation) through lattice registry, 2) Controlling exciton transfer (including singlet fission) and transport in 2D MHP templated OSCs by utilizing these sub-Angstrom changes, and 3) Controlling the heterostructure transport between the 2D MHP layer and the OSC. The research focuses on the prototypical OSC molecule perylenediimide, but the knowledge gained is relevant for other OSCs as well. The success of this project can result in a novel method of controlling the order, packing, and orientation of OSCs and understanding and manipulating structure-property relationships between templated OSCs and optoelectronic properties. There is a scarcity of fundamental knowledge relating to sub-Angstrom changes in OSC solid-state packing and their resulting optoelectronic behavior. The work addresses this gap and advances the knowledge of crystal structure and optoelectronics. The use of a 2D MHP template to reduce defects as well as change the crystal packing while still creating stable structures would be a significant departure from the current understanding of creating ordered OSC thin films, and the optoelectronic control afforded by these structures can open new doors for device applications.
This award reflects NSF's statutory mission and has been deemed worthy of support through evaluation using the Foundation's intellectual merit and broader impacts review criteria.</t>
        </is>
      </c>
      <c r="AJ32" s="23" t="inlineStr"/>
    </row>
    <row r="33" ht="18" customHeight="1">
      <c r="A33" s="25" t="inlineStr">
        <is>
          <t>2412941</t>
        </is>
      </c>
      <c r="B33" s="26" t="inlineStr">
        <is>
          <t>Collaborative Research: Physics of How Cells Follow Electric Fields</t>
        </is>
      </c>
      <c r="C33" s="25" t="inlineStr">
        <is>
          <t>Continuing Grant</t>
        </is>
      </c>
      <c r="D33" s="25" t="inlineStr">
        <is>
          <t>true</t>
        </is>
      </c>
      <c r="E33" s="25" t="inlineStr">
        <is>
          <t>07/31/2024</t>
        </is>
      </c>
      <c r="F33" s="25" t="inlineStr">
        <is>
          <t>08/15/2024</t>
        </is>
      </c>
      <c r="G33" s="25" t="inlineStr">
        <is>
          <t>07/31/2027</t>
        </is>
      </c>
      <c r="H33" s="25" t="inlineStr">
        <is>
          <t>2024</t>
        </is>
      </c>
      <c r="I33" s="27" t="n">
        <v>333027</v>
      </c>
      <c r="J33" s="27" t="n">
        <v>333027</v>
      </c>
      <c r="K33" s="25" t="inlineStr">
        <is>
          <t>Brian</t>
        </is>
      </c>
      <c r="L33" s="25" t="inlineStr">
        <is>
          <t>Camley</t>
        </is>
      </c>
      <c r="M33" s="25" t="inlineStr">
        <is>
          <t>bcamley@gmail.com</t>
        </is>
      </c>
      <c r="N33" s="25" t="inlineStr"/>
      <c r="O33" s="25" t="inlineStr">
        <is>
          <t>Brian Camley</t>
        </is>
      </c>
      <c r="P33" s="25" t="inlineStr">
        <is>
          <t>Krastan Blagoev</t>
        </is>
      </c>
      <c r="Q33" s="25" t="inlineStr">
        <is>
          <t>kblagoev@nsf.gov</t>
        </is>
      </c>
      <c r="R33" s="25" t="inlineStr">
        <is>
          <t>THE JOHNS HOPKINS UNIVERSITY</t>
        </is>
      </c>
      <c r="S33" s="25" t="inlineStr">
        <is>
          <t>BALTIMORE</t>
        </is>
      </c>
      <c r="T33" s="25" t="inlineStr">
        <is>
          <t>MD</t>
        </is>
      </c>
      <c r="U33" s="25" t="inlineStr">
        <is>
          <t>212182608</t>
        </is>
      </c>
      <c r="V33" s="25" t="inlineStr">
        <is>
          <t>FTMTDMBR29C7</t>
        </is>
      </c>
      <c r="W33" s="25" t="inlineStr">
        <is>
          <t>BALTIMORE</t>
        </is>
      </c>
      <c r="X33" s="25" t="inlineStr">
        <is>
          <t>MD</t>
        </is>
      </c>
      <c r="Y33" s="25" t="inlineStr">
        <is>
          <t>MPS</t>
        </is>
      </c>
      <c r="Z33" s="25" t="inlineStr">
        <is>
          <t>PHY</t>
        </is>
      </c>
      <c r="AA33" s="26" t="inlineStr">
        <is>
          <t>PHYSICS OF LIVING SYSTEMS</t>
        </is>
      </c>
      <c r="AB33" s="25" t="inlineStr">
        <is>
          <t>NANO NON-SOLIC SCI &amp; ENG AWD, NANOSCALE BIO CORE</t>
        </is>
      </c>
      <c r="AC33" s="25" t="inlineStr">
        <is>
          <t>724600</t>
        </is>
      </c>
      <c r="AD33" s="25" t="inlineStr">
        <is>
          <t>7237, 7465</t>
        </is>
      </c>
      <c r="AE33" s="25" t="inlineStr">
        <is>
          <t>47.049</t>
        </is>
      </c>
      <c r="AF33" s="25" t="inlineStr">
        <is>
          <t>1</t>
        </is>
      </c>
      <c r="AG33" s="25" t="inlineStr">
        <is>
          <t>07/31/2024</t>
        </is>
      </c>
      <c r="AH33" s="25" t="inlineStr">
        <is>
          <t>09/12/2025</t>
        </is>
      </c>
      <c r="AI33" s="26" t="inlineStr">
        <is>
          <t>Surprisingly, when tissues like the skin or cornea are wounded, our bodies immediately respond by creating a natural electric field pointing toward the wound center. These fields have nothing to do with the brain or nervous system. Instead, cells can actually use the electric field to navigate, leading them to the wound site (“electrotaxis” or “galvanotaxis”). Controlling this electrical signal is thought to be able to improve our own ability to heal. However, developing next-generation ‘electroceutical’ tools requires us to better understand what cells are doing when following this signal – how do they detect an electric field, and what limits their ability to sense it? Understanding this requires a focus on the interaction between biological cell motility and the physical forces applied to molecules on the cell’s surface. Currently, most of the data in this field suggest that cells follow electric fields because charged sensor molecules are redistributed on the cell’s surface. However, these molecules are so small that the electrical signal will be competing with fluctuating thermal forces (Brownian motion). This competition could affect how accurately cell can respond to the electrical signals and understanding it could lead to better ways to deliver electrical signals to improve cell responses. This project will study how these physical factors limit the accuracy of how both individual cells and groups of cells follow fields. The research is a collaboration between the Camley group, who model how groups of cells respond to chemical cues and have recently developed a biophysical model for single-cell galvanotaxis, and the Cohen group, who are experts in engineering and controlling electrotaxis at the tissue scale. This project will support the development of computational models that include the motion of sensor molecules on the cell’s surface in response to electric fields, the crawling of the cell, and the ways in which cells can influence the electric fields around them. The project will then involve testing these models using experiments with single cells, small numbers of cells, and tissues, and use this data to refine the models. The Broader Impacts of this work include a better understanding of these processes essential to wound healing, as well as developing tools to help guide individual cells or cell sheets—all of which brings us closer to new bioelectric technologies for healing. In addition, this project will support training of scientists in broad communication, outreach, and storytelling through an expansion of Cohen’s ‘Lab Tales’ storytelling training workshop where trainees learn science history and storytelling through a week of hands-on instruction. 
In more detail, this award will aim to answer three broad questions. First: how does a cell’s shape affect its ability to sense a field? Many single eukaryotic cells stretch perpendicular to an applied electric field. Why? Does it benefit them? To answer, the project will study how the ‘front’ and ‘back’ of a cell reorients when exposed to an electric field, and how this depends on cell shape and orientation. The project will control cell shape by using adhesive micropatterns, allowing for quantitative comparison with theory. Second: Do cells interact while galvanotaxing? Cells, by their presence on the substrate, will alter the local electric field. Can pairs of cells interact through the electric field, with one cell causing the other to reorient? Third: Can groups of cells improve their accuracy by aligning? Many cell types develop so-called “nematic” alignment, where cells’ long axes align with each other – this also includes keratinocytes following electrical fields. How does this affect the group’s ability to respond to signals?
This award reflects NSF's statutory mission and has been deemed worthy of support through evaluation using the Foundation's intellectual merit and broader impacts review criteria.</t>
        </is>
      </c>
      <c r="AJ33" s="26" t="inlineStr"/>
    </row>
    <row r="34" ht="18" customHeight="1">
      <c r="A34" s="22" t="inlineStr">
        <is>
          <t>2338645</t>
        </is>
      </c>
      <c r="B34" s="23" t="inlineStr">
        <is>
          <t>CAREER: The Most Ancient Stars in the Milky Way</t>
        </is>
      </c>
      <c r="C34" s="22" t="inlineStr">
        <is>
          <t>Continuing Grant</t>
        </is>
      </c>
      <c r="D34" s="22" t="inlineStr">
        <is>
          <t>true</t>
        </is>
      </c>
      <c r="E34" s="22" t="inlineStr">
        <is>
          <t>05/07/2024</t>
        </is>
      </c>
      <c r="F34" s="22" t="inlineStr">
        <is>
          <t>08/01/2024</t>
        </is>
      </c>
      <c r="G34" s="22" t="inlineStr">
        <is>
          <t>07/31/2029</t>
        </is>
      </c>
      <c r="H34" s="22" t="inlineStr">
        <is>
          <t>2024</t>
        </is>
      </c>
      <c r="I34" s="24" t="n">
        <v>387371</v>
      </c>
      <c r="J34" s="24" t="n">
        <v>656265</v>
      </c>
      <c r="K34" s="22" t="inlineStr">
        <is>
          <t>Kevin</t>
        </is>
      </c>
      <c r="L34" s="22" t="inlineStr">
        <is>
          <t>Schlaufman</t>
        </is>
      </c>
      <c r="M34" s="22" t="inlineStr">
        <is>
          <t>kschlaufman@jhu.edu</t>
        </is>
      </c>
      <c r="N34" s="22" t="inlineStr"/>
      <c r="O34" s="22" t="inlineStr">
        <is>
          <t>Kevin C Schlaufman</t>
        </is>
      </c>
      <c r="P34" s="22" t="inlineStr">
        <is>
          <t>Jacqueline Keane</t>
        </is>
      </c>
      <c r="Q34" s="22" t="inlineStr">
        <is>
          <t>jkeane@nsf.gov</t>
        </is>
      </c>
      <c r="R34" s="22" t="inlineStr">
        <is>
          <t>THE JOHNS HOPKINS UNIVERSITY</t>
        </is>
      </c>
      <c r="S34" s="22" t="inlineStr">
        <is>
          <t>BALTIMORE</t>
        </is>
      </c>
      <c r="T34" s="22" t="inlineStr">
        <is>
          <t>MD</t>
        </is>
      </c>
      <c r="U34" s="22" t="inlineStr">
        <is>
          <t>212182608</t>
        </is>
      </c>
      <c r="V34" s="22" t="inlineStr">
        <is>
          <t>FTMTDMBR29C7</t>
        </is>
      </c>
      <c r="W34" s="22" t="inlineStr">
        <is>
          <t>BALTIMORE</t>
        </is>
      </c>
      <c r="X34" s="22" t="inlineStr">
        <is>
          <t>MD</t>
        </is>
      </c>
      <c r="Y34" s="22" t="inlineStr">
        <is>
          <t>MPS</t>
        </is>
      </c>
      <c r="Z34" s="22" t="inlineStr">
        <is>
          <t>AST</t>
        </is>
      </c>
      <c r="AA34" s="23" t="inlineStr">
        <is>
          <t>CAREER: FACULTY EARLY CAR DEV</t>
        </is>
      </c>
      <c r="AB34" s="22" t="inlineStr">
        <is>
          <t>CAREER-Faculty Erly Career Dev, OBSERVATIONAL ASTRONOMY</t>
        </is>
      </c>
      <c r="AC34" s="22" t="inlineStr">
        <is>
          <t>104500</t>
        </is>
      </c>
      <c r="AD34" s="22" t="inlineStr">
        <is>
          <t>1045, 1207</t>
        </is>
      </c>
      <c r="AE34" s="22" t="inlineStr">
        <is>
          <t>47.049</t>
        </is>
      </c>
      <c r="AF34" s="22" t="inlineStr">
        <is>
          <t>1</t>
        </is>
      </c>
      <c r="AG34" s="22" t="inlineStr">
        <is>
          <t>05/07/2024</t>
        </is>
      </c>
      <c r="AH34" s="22" t="inlineStr">
        <is>
          <t>05/07/2024</t>
        </is>
      </c>
      <c r="AI34" s="23" t="inlineStr">
        <is>
          <t>The first stars in the Universe—the so-called Population III stars—were made up of only the products of Big Bang nucleosynthesis: hydrogen, helium, and a sprinkling of lithium. They are theoretically predicted to have formed more than 13.4 billion years in the past. They have never been observed. Many properties of Pop III stars are highly uncertain, and resolving these uncertainties is necessary to understand the origin of the elements, the properties of the first galaxies, the reionization of the Universe, and the seeds of supermassive black holes. Two graduate students will be supported by this program to perform the large-scale data analysis, and one undergraduate student from an underrepresented minority will participate in the research each summer. In addition, the team will start a long-term, sustainable, bimonthly program of portable planetarium visits to Baltimore City Public Schools elementary/middle schools. 
Even with the James Webb Space Telescope it is thought to be impossible to directly study individual Pop III stars, so they must be studied indirectly through the unique elemental signature they inject into the interstellar medium during their supernovae. The ratios of the elements created depend on the Pop III initial mass function as well as their binarity, rotation, and fragmentation rates. Those elemental abundances consequently constrain the otherwise unobservable properties of Pop III stars. The project will conduct a comprehensive spectral analysis of high-resolution optical spectra to calculate the photospheric stellar parameters, detailed abundances, isochrone-derived ages, and orbits of 341 stars in the inner and outer regions of the Milky Way galaxy. The data will be used to explore the Pop III initial mass function and its role in the origin of the elements, the properties of the first galaxies, the reionization of the Universe, and the origin of supermassive black holes. The chemodynamic analysis of the phase-space of an unbiased solar neighborhood sample will explore the first stage of Milky Way formation and reveal the galactic origin of metal-poor stars. Results from this project will determine whether metal-poor stars formed in the Milky Way or in accreted dwarf galaxies.
This award reflects NSF's statutory mission and has been deemed worthy of support through evaluation using the Foundation's intellectual merit and broader impacts review criteria.</t>
        </is>
      </c>
      <c r="AJ34" s="23" t="inlineStr"/>
    </row>
    <row r="35" ht="18" customHeight="1">
      <c r="A35" s="25" t="inlineStr">
        <is>
          <t>2412449</t>
        </is>
      </c>
      <c r="B35" s="26" t="inlineStr">
        <is>
          <t>Computational methods for large scale transcriptome profiling</t>
        </is>
      </c>
      <c r="C35" s="25" t="inlineStr">
        <is>
          <t>Continuing Grant</t>
        </is>
      </c>
      <c r="D35" s="25" t="inlineStr">
        <is>
          <t>true</t>
        </is>
      </c>
      <c r="E35" s="25" t="inlineStr">
        <is>
          <t>07/22/2024</t>
        </is>
      </c>
      <c r="F35" s="25" t="inlineStr">
        <is>
          <t>08/01/2024</t>
        </is>
      </c>
      <c r="G35" s="25" t="inlineStr">
        <is>
          <t>07/31/2027</t>
        </is>
      </c>
      <c r="H35" s="25" t="inlineStr">
        <is>
          <t>2024</t>
        </is>
      </c>
      <c r="I35" s="27" t="n">
        <v>1068457</v>
      </c>
      <c r="J35" s="27" t="n">
        <v>1068457</v>
      </c>
      <c r="K35" s="25" t="inlineStr">
        <is>
          <t>Mihaela</t>
        </is>
      </c>
      <c r="L35" s="25" t="inlineStr">
        <is>
          <t>Pertea</t>
        </is>
      </c>
      <c r="M35" s="25" t="inlineStr">
        <is>
          <t>mpertea@jhu.edu</t>
        </is>
      </c>
      <c r="N35" s="25" t="inlineStr"/>
      <c r="O35" s="25" t="inlineStr">
        <is>
          <t>Mihaela Pertea</t>
        </is>
      </c>
      <c r="P35" s="25" t="inlineStr">
        <is>
          <t>Krisztina Varga</t>
        </is>
      </c>
      <c r="Q35" s="25" t="inlineStr">
        <is>
          <t>kvarga@nsf.gov</t>
        </is>
      </c>
      <c r="R35" s="25" t="inlineStr">
        <is>
          <t>THE JOHNS HOPKINS UNIVERSITY</t>
        </is>
      </c>
      <c r="S35" s="25" t="inlineStr">
        <is>
          <t>BALTIMORE</t>
        </is>
      </c>
      <c r="T35" s="25" t="inlineStr">
        <is>
          <t>MD</t>
        </is>
      </c>
      <c r="U35" s="25" t="inlineStr">
        <is>
          <t>212182608</t>
        </is>
      </c>
      <c r="V35" s="25" t="inlineStr">
        <is>
          <t>FTMTDMBR29C7</t>
        </is>
      </c>
      <c r="W35" s="25" t="inlineStr">
        <is>
          <t>BALTIMORE</t>
        </is>
      </c>
      <c r="X35" s="25" t="inlineStr">
        <is>
          <t>MD</t>
        </is>
      </c>
      <c r="Y35" s="25" t="inlineStr">
        <is>
          <t>BIO</t>
        </is>
      </c>
      <c r="Z35" s="25" t="inlineStr">
        <is>
          <t>DBI</t>
        </is>
      </c>
      <c r="AA35" s="26" t="inlineStr">
        <is>
          <t>Cross-BIO Activities, Innovation: Bioinformatics</t>
        </is>
      </c>
      <c r="AB35" s="25" t="inlineStr"/>
      <c r="AC35" s="25" t="inlineStr">
        <is>
          <t>727500, 164Y00</t>
        </is>
      </c>
      <c r="AD35" s="25" t="inlineStr"/>
      <c r="AE35" s="25" t="inlineStr">
        <is>
          <t>47.074</t>
        </is>
      </c>
      <c r="AF35" s="25" t="inlineStr">
        <is>
          <t>1</t>
        </is>
      </c>
      <c r="AG35" s="25" t="inlineStr">
        <is>
          <t>07/22/2024</t>
        </is>
      </c>
      <c r="AH35" s="25" t="inlineStr">
        <is>
          <t>09/04/2025</t>
        </is>
      </c>
      <c r="AI35" s="26" t="inlineStr">
        <is>
          <t>This project aims to advance the state of the art in analyzing data generated through high-throughput RNA sequencing experiments by developing cutting-edge software that addresses the current challenges in transcriptome assembly and gene annotation. RNA sequencing has become a vital method for understanding gene expression across various cell types and conditions, leading to discoveries of new genes and splice variants in a wide range of species. However, the increasing volume of data from large-scale sequencing experiments demands more efficient and precise computational methods. This project seeks to create innovative algorithms to improve the accuracy and scalability of computational methods for assembling the data from these experiments, thereby producing more accurate measurements of the genes and transcripts present in any tissue sample. By tackling these challenges, the project promises significant advancements in the understanding of gene expression and transcriptional activity, benefiting a wide range of scientific research. Additionally, by leveraging data from previous experiments in a new way, it will provide a cost-saving opportunity by reducing the number of samples required for sequencing.
The project will focus on three key areas to overcome the limitations of current RNA-seq analysis methods. First, a scalable approach for assembling transcripts from large RNA-seq datasets will be developed by constructing a "universal splice graph" that captures all valid alignments and ensures consistent transcript structures across samples. Second, a new model of transcriptional noise will be introduced, which aggregates data from multiple experiments to distinguish genuine transcripts from background noise, enhancing the precision of transcript quantification. Third, collections of universal splicing graphs will be generated to represent transcriptional activity across different species, cell types, and tissues. These methodologies leverage the extensive RNA-seq data available today and provide essential tools for identifying structural variations in transcripts and performing differential expression analyses. The proposed software will be open-source, facilitating widespread adoption and furthering research capabilities in computational biology. All software will be freely available from https://ccb.jhu.edu/software/stringtie and on a public github archive.
This award reflects NSF's statutory mission and has been deemed worthy of support through evaluation using the Foundation's intellectual merit and broader impacts review criteria.</t>
        </is>
      </c>
      <c r="AJ35" s="26" t="inlineStr"/>
    </row>
    <row r="36" ht="18" customHeight="1">
      <c r="A36" s="22" t="inlineStr">
        <is>
          <t>2438319</t>
        </is>
      </c>
      <c r="B36" s="23" t="inlineStr">
        <is>
          <t>Unmasking the Remnants of Gamma-Ray Bursts in the Era of Gravitational Wave Astronomy</t>
        </is>
      </c>
      <c r="C36" s="22" t="inlineStr">
        <is>
          <t>Continuing Grant</t>
        </is>
      </c>
      <c r="D36" s="22" t="inlineStr">
        <is>
          <t>false</t>
        </is>
      </c>
      <c r="E36" s="22" t="inlineStr">
        <is>
          <t>07/26/2024</t>
        </is>
      </c>
      <c r="F36" s="22" t="inlineStr">
        <is>
          <t>08/01/2024</t>
        </is>
      </c>
      <c r="G36" s="22" t="inlineStr">
        <is>
          <t>10/31/2025</t>
        </is>
      </c>
      <c r="H36" s="22" t="inlineStr">
        <is>
          <t>2024</t>
        </is>
      </c>
      <c r="I36" s="24" t="n">
        <v>74757</v>
      </c>
      <c r="J36" s="24" t="n">
        <v>262509</v>
      </c>
      <c r="K36" s="22" t="inlineStr">
        <is>
          <t>Alessandra</t>
        </is>
      </c>
      <c r="L36" s="22" t="inlineStr">
        <is>
          <t>Corsi</t>
        </is>
      </c>
      <c r="M36" s="22" t="inlineStr">
        <is>
          <t>acorsi2@jh.edu</t>
        </is>
      </c>
      <c r="N36" s="22" t="inlineStr"/>
      <c r="O36" s="22" t="inlineStr">
        <is>
          <t>Alessandra Corsi</t>
        </is>
      </c>
      <c r="P36" s="22" t="inlineStr">
        <is>
          <t>Pedro Marronetti</t>
        </is>
      </c>
      <c r="Q36" s="22" t="inlineStr">
        <is>
          <t>pmarrone@nsf.gov</t>
        </is>
      </c>
      <c r="R36" s="22" t="inlineStr">
        <is>
          <t>THE JOHNS HOPKINS UNIVERSITY</t>
        </is>
      </c>
      <c r="S36" s="22" t="inlineStr">
        <is>
          <t>BALTIMORE</t>
        </is>
      </c>
      <c r="T36" s="22" t="inlineStr">
        <is>
          <t>MD</t>
        </is>
      </c>
      <c r="U36" s="22" t="inlineStr">
        <is>
          <t>212182608</t>
        </is>
      </c>
      <c r="V36" s="22" t="inlineStr">
        <is>
          <t>FTMTDMBR29C7</t>
        </is>
      </c>
      <c r="W36" s="22" t="inlineStr">
        <is>
          <t>BALTIMORE</t>
        </is>
      </c>
      <c r="X36" s="22" t="inlineStr">
        <is>
          <t>MD</t>
        </is>
      </c>
      <c r="Y36" s="22" t="inlineStr">
        <is>
          <t>MPS</t>
        </is>
      </c>
      <c r="Z36" s="22" t="inlineStr">
        <is>
          <t>PHY</t>
        </is>
      </c>
      <c r="AA36" s="23" t="inlineStr">
        <is>
          <t>LIGO RESEARCH SUPPORT</t>
        </is>
      </c>
      <c r="AB36" s="22" t="inlineStr">
        <is>
          <t>Windows on the Universe (WoU)</t>
        </is>
      </c>
      <c r="AC36" s="22" t="inlineStr">
        <is>
          <t>125200</t>
        </is>
      </c>
      <c r="AD36" s="22" t="inlineStr">
        <is>
          <t>069Z</t>
        </is>
      </c>
      <c r="AE36" s="22" t="inlineStr">
        <is>
          <t>47.049</t>
        </is>
      </c>
      <c r="AF36" s="22" t="inlineStr">
        <is>
          <t>1</t>
        </is>
      </c>
      <c r="AG36" s="22" t="inlineStr">
        <is>
          <t>07/26/2024</t>
        </is>
      </c>
      <c r="AH36" s="22" t="inlineStr">
        <is>
          <t>07/26/2024</t>
        </is>
      </c>
      <c r="AI36" s="23" t="inlineStr">
        <is>
          <t>This award supports research in relativity and relativistic astrophysics and it addresses the priority areas of NSF's "Windows on the Universe" Big Idea. The era of gravitational-wave multi-messenger astronomy started on 2017 August 17, when LIGO (the Laser Interferometer Gravitational Wave Observatory) discovered an event dubbed GW170817. This was the very first direct observation of gravitational waves from a binary neutron star in-spiral, which was accompanied by the detection of light at all wavelengths. The multi-messenger observations of GW170817 have crucially informed a large variety of fields including gravitational physics, nuclear physics, cosmology, and relativistic astrophysics. In spite of the spectacular progress, several questions remain open. A key one is whether the stellar object leftover from the merger is a short-lived neutron star, a long-lived neutron star, or a promptly formed black hole. This award supports searches of LIGO data for signatures aimed at uncovering the nature of the merger remnant. Studying how the nature of the remnant depends on the properties of the merging objects can unlock the fundamental physics of matter at densities much larger than those that can be probed in Earth-based laboratories and clarify the physics of some of the most exotic objects in the stellar graveyard. This project also supports the training of graduate and undergraduate students who will constitute the next generation of scientists, and several outreach activities aimed at presenting LIGO results to the general public and K12 students. 
Specific intellectual goals are: (i) Unmasking the remnants of compact object mergers accompanied by gamma-ray bursts by carrying out searches for gravitational waves from newly formed neutron stars; (ii) Assessing the efficiency of the newly-developed Cross-Correlation Algorithm (CoCoA) in detecting the full zoo of possible gravitational wave signals from merger remnants, and its efficacy in post-detection parameter estimation; (iii) Quantifying the potential for discovery of gravitational waves from neutron stars formed in long gamma-ray bursts by future upgraded gravitational wave detectors. Broader impact goals are: (i) Bringing age-appropriate presentations and LIGO-related outreach activities to under-represented groups by leveraging the TTU Honors College-Bayless Elementary School mentoring program; (ii) Presenting a LIGO prize to the South Plains Regional Science Fair; (iii) Presenting LIGO results to the general public during the Astronight at TTU.
This award reflects NSF's statutory mission and has been deemed worthy of support through evaluation using the Foundation's intellectual merit and broader impacts review criteria.</t>
        </is>
      </c>
      <c r="AJ36" s="23" t="inlineStr">
        <is>
          <t>&lt;div class="porColContainerWBG"&gt;
&lt;div class="porContentCol"&gt;&lt;p&gt;This award has supported research aimed at addressing one of the most pressing questions raised by the multi-messenger discovery of GW170817: what is the nature of the compact remnant produced in binary neutron-star mergers? Specifically, does the merger leave behind a short-lived neutron star, a long-lived neutron star, or a promptly formed black hole? Answering this question provides critical insight into the behavior of matter at densities far beyond those that can be probed in terrestrial laboratories and advances our understanding of some of the most extreme objects in the stellar graveyard. Major accomplishments of this award include: (i) a search for gravitational waves from long-lived neutron stars during the first part of the fourth observing run of the Laser Interferometer Gravitational-Wave Observatory (LIGO); (ii) the development of improved data-analysis methods for post-merger gravitational-wave searches; and (iii) the development of a comprehensive multi-messenger science case for next-generation ground-based gravitational-wave detectors, with particular emphasis on the connection between gamma-ray bursts and binary neutron-star mergers.&lt;/p&gt;
&lt;p&gt;This award also supported the development of the STEM workforce through the training of several students at both the undergraduate and graduate levels. In addition, it enabled outreach activities aimed at broadening public participation in gravitational-wave science and LIGO discoveries. These efforts included organizing and staffing a LIGO booth at the annual Physics and Astronomy Fair at Johns Hopkins University (JHU), where members of the Baltimore community engaged with hands-on demonstrations illustrating the nature and sources of gravitational waves. The award further supported a lecture for Baltimore-area teachers, providing training in gravitational-wave observations and data analysis.&lt;/p&gt;
&lt;p&gt;&amp;nbsp;&lt;/p&gt;&lt;br&gt;
&lt;p&gt;
 Last Modified: 02/26/2026&lt;br&gt;
Modified by: Alessandra&amp;nbsp;Corsi&lt;/p&gt;&lt;/div&gt;
&lt;div class="porSideCol"
&gt;&lt;/div&gt;
&lt;/div&gt;</t>
        </is>
      </c>
    </row>
    <row r="37" ht="18" customHeight="1">
      <c r="A37" s="25" t="inlineStr">
        <is>
          <t>2402606</t>
        </is>
      </c>
      <c r="B37" s="26" t="inlineStr">
        <is>
          <t>Dynamic Pathways &amp; Feedback Control of Topological Defects on Topographical Surfaces</t>
        </is>
      </c>
      <c r="C37" s="25" t="inlineStr">
        <is>
          <t>Standard Grant</t>
        </is>
      </c>
      <c r="D37" s="25" t="inlineStr">
        <is>
          <t>true</t>
        </is>
      </c>
      <c r="E37" s="25" t="inlineStr">
        <is>
          <t>08/05/2024</t>
        </is>
      </c>
      <c r="F37" s="25" t="inlineStr">
        <is>
          <t>08/01/2024</t>
        </is>
      </c>
      <c r="G37" s="25" t="inlineStr">
        <is>
          <t>07/31/2027</t>
        </is>
      </c>
      <c r="H37" s="25" t="inlineStr">
        <is>
          <t>2024</t>
        </is>
      </c>
      <c r="I37" s="27" t="n">
        <v>362000</v>
      </c>
      <c r="J37" s="27" t="n">
        <v>362000</v>
      </c>
      <c r="K37" s="25" t="inlineStr">
        <is>
          <t>Michael</t>
        </is>
      </c>
      <c r="L37" s="25" t="inlineStr">
        <is>
          <t>Bevan</t>
        </is>
      </c>
      <c r="M37" s="25" t="inlineStr">
        <is>
          <t>mabevan@jhu.edu</t>
        </is>
      </c>
      <c r="N37" s="25" t="inlineStr"/>
      <c r="O37" s="25" t="inlineStr">
        <is>
          <t>Michael A Bevan</t>
        </is>
      </c>
      <c r="P37" s="25" t="inlineStr">
        <is>
          <t>Rohit Ramachandran</t>
        </is>
      </c>
      <c r="Q37" s="25" t="inlineStr">
        <is>
          <t>rramacha@nsf.gov</t>
        </is>
      </c>
      <c r="R37" s="25" t="inlineStr">
        <is>
          <t>THE JOHNS HOPKINS UNIVERSITY</t>
        </is>
      </c>
      <c r="S37" s="25" t="inlineStr">
        <is>
          <t>BALTIMORE</t>
        </is>
      </c>
      <c r="T37" s="25" t="inlineStr">
        <is>
          <t>MD</t>
        </is>
      </c>
      <c r="U37" s="25" t="inlineStr">
        <is>
          <t>212182608</t>
        </is>
      </c>
      <c r="V37" s="25" t="inlineStr">
        <is>
          <t>FTMTDMBR29C7</t>
        </is>
      </c>
      <c r="W37" s="25" t="inlineStr">
        <is>
          <t>BALTIMORE</t>
        </is>
      </c>
      <c r="X37" s="25" t="inlineStr">
        <is>
          <t>MD</t>
        </is>
      </c>
      <c r="Y37" s="25" t="inlineStr">
        <is>
          <t>ENG</t>
        </is>
      </c>
      <c r="Z37" s="25" t="inlineStr">
        <is>
          <t>CBET</t>
        </is>
      </c>
      <c r="AA37" s="26" t="inlineStr">
        <is>
          <t>Proc Sys, Reac Eng &amp; Mol Therm</t>
        </is>
      </c>
      <c r="AB37" s="25" t="inlineStr"/>
      <c r="AC37" s="25" t="inlineStr">
        <is>
          <t>140300</t>
        </is>
      </c>
      <c r="AD37" s="25" t="inlineStr"/>
      <c r="AE37" s="25" t="inlineStr">
        <is>
          <t>47.041</t>
        </is>
      </c>
      <c r="AF37" s="25" t="inlineStr">
        <is>
          <t>1</t>
        </is>
      </c>
      <c r="AG37" s="25" t="inlineStr">
        <is>
          <t>08/05/2024</t>
        </is>
      </c>
      <c r="AH37" s="25" t="inlineStr">
        <is>
          <t>08/05/2024</t>
        </is>
      </c>
      <c r="AI37" s="26" t="inlineStr">
        <is>
          <t>The goal of this project is to develop models to predict and describe the behavior for groups of particles, called colloidal assemblies, on curved surfaces. The behavior of interest is how the colloidal assemblies form different groupings and configurations called microstructures. By understanding the dynamics of how particle scale microstructures emerge on curved and deformable surfaces, real-time control will be developed for assembling particle-based surface structures with important and novel multifunctional properties. Practically, the aim is to assemble different shaped particles on different surface topographies to create synthetic materials that mimic natural materials as well as unnatural metasurfaces. Improving the control of these assemblies and resulting properties is expected to lead to techniques for fabricating these materials at a larger scale. Particle microstructures on curved surfaces will be targeted that exhibit novel properties (e.g., optical, electromagnetic, mechanical, wetting, etc.) essential to emerging technologies (e.g., optical coatings, solar cells, biomaterials, soft robotics, flexible electronics, responsive composites, etc.). To achieve these goals, microscopy and computer experiments will be used to understand and control mechanisms of non-equilibrium assembly of liquid crystal and crystal structures on curved surfaces including the role of curvature mediated packing defects. Broader impact activities will include educating a diverse and inclusive multidisciplinary workforce as well as outreach to underrepresented groups in Baltimore through classroom and laboratory modules involving microscopy and computational research visuals.
The research plan includes a systematic series of connected aims to both gain fundamental understanding of dynamic pathways for assembly of different shaped particles on curved surfaces, and to enable feedback control of rapid microstructure evolution toward target states. In addition, the project aims are designed to address a central scientific hypothesis that different shaped particles on curved surfaces have different interactions, states, defects, and stochastic assembly, relaxation, and reconfiguration dynamics compared to particles on flat surfaces. In brief, the project aims are to: (1) obtain accurate high-dimensional particle scale dynamic simulations by matching potentials and diffusivities to microscopy experiments in a model material system with tunable potentials, (2) develop coarse-grained reaction coordinate based dynamic models, with pathway and rate information, for stochastic microstructure evolution in transient assembly processes including topological defect relaxation, and (3) implement feedback control with optimal control policies to achieve in minimum time low-defect target microstructures of different shaped particles in liquid crystalline and crystalline states on varying surface topographies. Achieving these aims will enable us to develop generalizable first principles models to control dynamic reversible assembly of different shaped particles into technologically useful ordered microstructures on curved surfaces.
This award reflects NSF's statutory mission and has been deemed worthy of support through evaluation using the Foundation's intellectual merit and broader impacts review criteria.</t>
        </is>
      </c>
      <c r="AJ37" s="26" t="inlineStr"/>
    </row>
    <row r="38" ht="18" customHeight="1">
      <c r="A38" s="22" t="inlineStr">
        <is>
          <t>2324976</t>
        </is>
      </c>
      <c r="B38" s="23" t="inlineStr">
        <is>
          <t>Stormtime Ultra-low-frequency (ULF) Waves in the Inner Magnetosphere: Mode Structure and Particle Environment</t>
        </is>
      </c>
      <c r="C38" s="22" t="inlineStr">
        <is>
          <t>Standard Grant</t>
        </is>
      </c>
      <c r="D38" s="22" t="inlineStr">
        <is>
          <t>true</t>
        </is>
      </c>
      <c r="E38" s="22" t="inlineStr">
        <is>
          <t>07/03/2024</t>
        </is>
      </c>
      <c r="F38" s="22" t="inlineStr">
        <is>
          <t>08/01/2024</t>
        </is>
      </c>
      <c r="G38" s="22" t="inlineStr">
        <is>
          <t>07/31/2027</t>
        </is>
      </c>
      <c r="H38" s="22" t="inlineStr">
        <is>
          <t>2024</t>
        </is>
      </c>
      <c r="I38" s="24" t="n">
        <v>415309</v>
      </c>
      <c r="J38" s="24" t="n">
        <v>415309</v>
      </c>
      <c r="K38" s="22" t="inlineStr">
        <is>
          <t>Kazue</t>
        </is>
      </c>
      <c r="L38" s="22" t="inlineStr">
        <is>
          <t>Takahashi</t>
        </is>
      </c>
      <c r="M38" s="22" t="inlineStr">
        <is>
          <t>kazue.takahashi@jhuapl.edu</t>
        </is>
      </c>
      <c r="N38" s="22" t="inlineStr"/>
      <c r="O38" s="22" t="inlineStr">
        <is>
          <t>Kazue Takahashi</t>
        </is>
      </c>
      <c r="P38" s="22" t="inlineStr">
        <is>
          <t>Mangala Sharma</t>
        </is>
      </c>
      <c r="Q38" s="22" t="inlineStr">
        <is>
          <t>msharma@nsf.gov</t>
        </is>
      </c>
      <c r="R38" s="22" t="inlineStr">
        <is>
          <t>THE JOHNS HOPKINS UNIVERSITY</t>
        </is>
      </c>
      <c r="S38" s="22" t="inlineStr">
        <is>
          <t>BALTIMORE</t>
        </is>
      </c>
      <c r="T38" s="22" t="inlineStr">
        <is>
          <t>MD</t>
        </is>
      </c>
      <c r="U38" s="22" t="inlineStr">
        <is>
          <t>212182608</t>
        </is>
      </c>
      <c r="V38" s="22" t="inlineStr">
        <is>
          <t>FTMTDMBR29C7</t>
        </is>
      </c>
      <c r="W38" s="22" t="inlineStr">
        <is>
          <t>Laurel</t>
        </is>
      </c>
      <c r="X38" s="22" t="inlineStr">
        <is>
          <t>MD</t>
        </is>
      </c>
      <c r="Y38" s="22" t="inlineStr">
        <is>
          <t>GEO</t>
        </is>
      </c>
      <c r="Z38" s="22" t="inlineStr">
        <is>
          <t>AGS</t>
        </is>
      </c>
      <c r="AA38" s="23" t="inlineStr">
        <is>
          <t>MAGNETOSPHERIC PHYSICS</t>
        </is>
      </c>
      <c r="AB38" s="22" t="inlineStr"/>
      <c r="AC38" s="22" t="inlineStr">
        <is>
          <t>575000</t>
        </is>
      </c>
      <c r="AD38" s="22" t="inlineStr"/>
      <c r="AE38" s="22" t="inlineStr">
        <is>
          <t>47.050</t>
        </is>
      </c>
      <c r="AF38" s="22" t="inlineStr">
        <is>
          <t>1</t>
        </is>
      </c>
      <c r="AG38" s="22" t="inlineStr">
        <is>
          <t>07/03/2024</t>
        </is>
      </c>
      <c r="AH38" s="22" t="inlineStr">
        <is>
          <t>07/03/2024</t>
        </is>
      </c>
      <c r="AI38" s="23" t="inlineStr">
        <is>
          <t>Various plasma waves are excited in near-Earth space during geomagnetic storms, and the waves affect the behavior of particles carrying the ring current and the strength of the flux of energetic electrons in the radiation belts.  Ultra-low-frequency (ULF) waves with frequencies below 100 mHz play an essential role in this regard, and understanding the spatial and temporal occurrence patterns and the excitation mechanism of the waves is a crucial element in magnetospheric research. The investigation focuses on a recently reported new type of compressional ULF waves in the inner magnetosphere with a symmetric (fundamental) mode structure about the magnetic equator. Antisymmetric (second harmonic) waves are commonly detected and well-documented in the literature.  The team aims to determine the relevance of drift compressional instability (DCI) to stormtime magnetospheric ULF waves. The investigation has broader impacts regarding wave-particle interactions occurring on other planets and in laboratory plasmas.  In addition, the investigation will contribute to building improved space weather models that are valuable beyond the context of basic research.
The goal of the investigation is to observationally determine whether the physical properties of symmetric ULF waves and the particle environment associated with the symmetric waves are consistent with DCI.  To this end, we will use data from the Van Allen Probes (RBSP), which include electric and magnetic fields, plasma, and energetic particles. With the RBSP mission providing measurements in the inner magnetosphere ( &lt; 6) over a 7-year period (2012–2019), the data are ideal for determining the mode structure of ULF waves, their spatial and temporal distributions, and the properties of the background particles.  We will determine the mode structure by paying attention to the relation between the spacecraft latitude and the location of the equatorial node/antinode of ULF waves. The relevance of DCI to observed symmetric waves will be discussed by evaluating the theoretical instability condition using observationally determined energy and radial distance dependence of the phase space density of ions in the ring current energy range (1-300 keV). We will discuss the statistically determined spatial occurrence pattern of the waves in relation to the drift of ions injected from a nightside source region.
This award reflects NSF's statutory mission and has been deemed worthy of support through evaluation using the Foundation's intellectual merit and broader impacts review criteria.</t>
        </is>
      </c>
      <c r="AJ38" s="23" t="inlineStr"/>
    </row>
    <row r="39" ht="18" customHeight="1">
      <c r="A39" s="25" t="inlineStr">
        <is>
          <t>2433739</t>
        </is>
      </c>
      <c r="B39" s="26" t="inlineStr">
        <is>
          <t>Conference: A NSF/NIH Workshop on Neuromorphic Principles in Biomedicine and Healthcare</t>
        </is>
      </c>
      <c r="C39" s="25" t="inlineStr">
        <is>
          <t>Standard Grant</t>
        </is>
      </c>
      <c r="D39" s="25" t="inlineStr">
        <is>
          <t>false</t>
        </is>
      </c>
      <c r="E39" s="25" t="inlineStr">
        <is>
          <t>07/19/2024</t>
        </is>
      </c>
      <c r="F39" s="25" t="inlineStr">
        <is>
          <t>08/01/2024</t>
        </is>
      </c>
      <c r="G39" s="25" t="inlineStr">
        <is>
          <t>07/31/2025</t>
        </is>
      </c>
      <c r="H39" s="25" t="inlineStr">
        <is>
          <t>2024</t>
        </is>
      </c>
      <c r="I39" s="27" t="n">
        <v>100000</v>
      </c>
      <c r="J39" s="27" t="n">
        <v>100000</v>
      </c>
      <c r="K39" s="25" t="inlineStr">
        <is>
          <t>Ralph</t>
        </is>
      </c>
      <c r="L39" s="25" t="inlineStr">
        <is>
          <t>Etienne-Cummings</t>
        </is>
      </c>
      <c r="M39" s="25" t="inlineStr">
        <is>
          <t>retienne@jhu.edu</t>
        </is>
      </c>
      <c r="N39" s="25" t="inlineStr">
        <is>
          <t>Jennifer M Blain Jennifer.BlainChristen@asu.edu, Duygu Kuzum dkuzum@eng.ucsd.edu</t>
        </is>
      </c>
      <c r="O39" s="25" t="inlineStr">
        <is>
          <t>Ralph Etienne-Cummings</t>
        </is>
      </c>
      <c r="P39" s="25" t="inlineStr">
        <is>
          <t>Ale Lukaszew</t>
        </is>
      </c>
      <c r="Q39" s="25" t="inlineStr">
        <is>
          <t>rlukasze@nsf.gov</t>
        </is>
      </c>
      <c r="R39" s="25" t="inlineStr">
        <is>
          <t>THE JOHNS HOPKINS UNIVERSITY</t>
        </is>
      </c>
      <c r="S39" s="25" t="inlineStr">
        <is>
          <t>BALTIMORE</t>
        </is>
      </c>
      <c r="T39" s="25" t="inlineStr">
        <is>
          <t>MD</t>
        </is>
      </c>
      <c r="U39" s="25" t="inlineStr">
        <is>
          <t>212182608</t>
        </is>
      </c>
      <c r="V39" s="25" t="inlineStr">
        <is>
          <t>FTMTDMBR29C7</t>
        </is>
      </c>
      <c r="W39" s="25" t="inlineStr">
        <is>
          <t>BALTIMORE</t>
        </is>
      </c>
      <c r="X39" s="25" t="inlineStr">
        <is>
          <t>MD</t>
        </is>
      </c>
      <c r="Y39" s="25" t="inlineStr">
        <is>
          <t>ENG</t>
        </is>
      </c>
      <c r="Z39" s="25" t="inlineStr">
        <is>
          <t>ECCS</t>
        </is>
      </c>
      <c r="AA39" s="26" t="inlineStr">
        <is>
          <t>EPMQD: Electronic, Photonic, M, CSCS: Circuits and Systems for, FET-Fndtns of Emerging Tech, Disability &amp; Rehab Engineering</t>
        </is>
      </c>
      <c r="AB39" s="25" t="inlineStr">
        <is>
          <t>Neuromorphic Computing, RESEARCH TO AID THE DISABLED, CONFERENCE AND WORKSHOPS, COMPUTATIONAL BIOLOGY</t>
        </is>
      </c>
      <c r="AC39" s="25" t="inlineStr">
        <is>
          <t>151700, 756400, 089Y00, 534200</t>
        </is>
      </c>
      <c r="AD39" s="25" t="inlineStr">
        <is>
          <t>086Z, 5342, 7556, 7931</t>
        </is>
      </c>
      <c r="AE39" s="25" t="inlineStr">
        <is>
          <t>47.041, 47.070</t>
        </is>
      </c>
      <c r="AF39" s="25" t="inlineStr">
        <is>
          <t>1</t>
        </is>
      </c>
      <c r="AG39" s="25" t="inlineStr">
        <is>
          <t>07/19/2024</t>
        </is>
      </c>
      <c r="AH39" s="25" t="inlineStr">
        <is>
          <t>07/19/2024</t>
        </is>
      </c>
      <c r="AI39" s="26" t="inlineStr">
        <is>
          <t>The goal of this workshop is to bring communities together to create a new generation of biomedical and neuro-engineering technologies that operate with extreme energy and data efficiency, adaptability, and performance advantages compared to current approaches. The plan is to congregate biomedical engineers, neural engineers, neuroscientists (computational and physiologists), neuromorphic scientists and engineers, materials scientists, clinicians, and mainstream engineers (e.g., electrical engineers, optical engineers, computer engineers, device engineers) to introduce new brain- and biology-inspired design principles to engineers who are currently investigating non-von Neumann architectures. It is expected that these new principles will provide alternative methods to solve relevant problems in the biomedical field, and to do so with significant improvements in the various metrics of the field. 
The planned interactions will leverage the synergistic interests of the National Institutes of Health (NIH) [including the National Institute of Neurological Disorders and Stroke (NINDS) and the National Institute of Biomedical Imaging and Bioengineering (NIBIB)] and the National Science Foundation (NSF) to improve healthcare technologies, while also discovering fundamental concepts in engineering. An expected output of the workshop will be a neuromorphic biotechnology roadmap that articulates the benefits of the approach, highlights the challenges and proposes a potential pathway to achieve the benefits. We expect analysis of the needs of the field, presentation of emerging technologies and concepts, and their potential impact on the common interests of the NIH and NSF. This roadmap will clearly identify the near-term and longer-term opportunities and elucidate the potential partners – including the private sector – who should participate in driving these efforts. The 2-day workshop program will include 2 keynote addresses, 12 invited presentations, poster sessions for graduate student attendees, moderated discussion sessions and meetings with NIH and NSF program managers. It is also planned to invite the program committee, composed of 5 experts, to serve on discussion panels. A further group of 6 scholars/entrepreneur/innovator will be convened for this workshop. All of them will be encouraged to bring their students to participate in the discourse and present posters. In-person and virtual participants are expected.
This award reflects NSF's statutory mission and has been deemed worthy of support through evaluation using the Foundation's intellectual merit and broader impacts review criteria.</t>
        </is>
      </c>
      <c r="AJ39" s="26" t="inlineStr">
        <is>
          <t>&lt;div class="porColContainerWBG"&gt;
&lt;div class="porContentCol"&gt;&lt;p&gt;The 2024 Neuromorphic Principles in Biomedicine and Healthcare (NPBH) Workshop convened a diverse group of experts from academia, industry, government, and clinical practice to explore how neuromorphic engineering could transform healthcare. This interdisciplinary meeting marked the first joint effort between NIH (including NINDS, NIBIB, and the BRAIN Initiative) and NSF to assess whether brain-inspired computational principles could address pressing challenges in medical technology. The workshop&amp;rsquo;s discussions revealed both the promise and complexity of integrating neuromorphic systems into biomedical applications.&lt;/p&gt;
&lt;p&gt;&lt;strong&gt;Intellectual Merits&lt;/strong&gt;&lt;/p&gt;
&lt;p&gt;At its core, the workshop advanced fundamental understanding of how neuromorphic principles&amp;mdash;emulating the brain&amp;rsquo;s efficient, adaptive, and parallel processing&amp;mdash;can overcome limitations in current medical devices. Participants highlighted critical needs in neural interfaces and brain-machine interfaces (BMIs), where energy efficiency and real-time adaptability remain major bottlenecks. Current high-density neural recording systems exceed safe thermal limits for implantation, constraining clinical viability. Neuromorphic architectures, by contrast, offer ultra-low power solutions capable of processing complex neural signals in real time, enabling closed-loop therapeutic systems.&lt;/p&gt;
&lt;p&gt;Several intellectual contributions emerged:&lt;/p&gt;
&lt;ol&gt;
&lt;li&gt;&lt;strong&gt;Novel      Computational Paradigms for Healthcare&lt;/strong&gt;&lt;br /&gt; Neuromorphic systems leverage spike-based processing and mixed      analog/digital circuits, reducing computational complexity by over 80% and      energy consumption by similar margins compared to conventional approaches.      These architectures enable continuous monitoring and adaptive intervention      across multiple timescales&amp;mdash;circadian rhythms, aging, and disease      progression&amp;mdash;while maintaining safety and performance.&lt;/li&gt;
&lt;li&gt;&lt;strong&gt;Advances      in Clinical Algorithms and Hardware Co-Design&lt;/strong&gt;&lt;br /&gt; Workshop discussions emphasized algorithm-hardware co-design for seizure      prediction, adaptive deep brain stimulation (DBS), and prosthetic control.      Neuromorphic implementations have achieved seizure detection accuracies      above 92% while dramatically reducing power consumption. Similarly, in      Parkinson&amp;rsquo;s disease, neuromorphic systems promise multi-biomarker analysis      for precise stimulation, leveraging inherent parallelism to process      beta-band activity, phase-amplitude coupling, and high-frequency oscillations      simultaneously.&lt;/li&gt;
&lt;li&gt;&lt;strong&gt;Foundational      Research Directions&lt;/strong&gt;&lt;br /&gt; The meeting underscored the need for fundamental research in neuromorphic      architectures, including robust asynchronous circuits, spike communication      protocols, and adaptive learning mechanisms. These directions aim to scale      neuromorphic systems for large neural populations while preserving energy      efficiency and real-time performance. Participants also explored      integration with emerging technologies such as memristive devices and      in-memory computing, which could further enhance adaptability and reduce      power overhead.&lt;/li&gt;
&lt;li&gt;&lt;strong&gt;Standardization      and Framework Development&lt;/strong&gt;&lt;br /&gt; Intellectual merit also lies in the push toward standardized toolsets and      frameworks for neuromorphic design, akin to CMOS development tools. The      Neural Engineering Framework (NEF) and recent benchmarking initiatives      were discussed as critical steps toward enabling reproducibility and      accelerating innovation.&lt;/li&gt;
&lt;/ol&gt;
&lt;div&gt;
&lt;hr size="2" /&gt;
&lt;/div&gt;
&lt;p&gt;&lt;strong&gt;Broader Impacts&lt;/strong&gt;&lt;/p&gt;
&lt;p&gt;The broader impacts of neuromorphic biomedical technologies extend across healthcare delivery, economic sustainability, and societal well-being:&lt;/p&gt;
&lt;ol&gt;
&lt;li&gt;&lt;strong&gt;Transforming      Patient Care&lt;/strong&gt;&lt;br /&gt; By 2035, neuromorphic-enabled devices could evolve into comprehensive      disease management platforms, offering personalized, adaptive therapies      for neurological, psychiatric, and neuromuscular disorders. Continuous      monitoring and closed-loop control will shift care from hospital-centric      models to &amp;ldquo;hospital at home,&amp;rdquo; reducing costs and improving quality of      life. For example, adaptive DBS systems that deliver stimulation only when      needed can extend battery life, reduce surgical interventions, and      minimize complications.&lt;/li&gt;
&lt;li&gt;&lt;strong&gt;Expanding      Access and Equity&lt;/strong&gt;&lt;br /&gt; Neuromorphic systems&amp;rsquo; efficiency and scalability promise affordable      solutions for underserved populations. Wearable neuromorphic devices for      real-time monitoring of cardiac arrhythmias, seizure activity, or motor      function could democratize access to advanced diagnostics and preventive      care, particularly in resource-limited settings.&lt;/li&gt;
&lt;li&gt;&lt;strong&gt;Economic      and Workforce Development&lt;/strong&gt;&lt;br /&gt; The workshop highlighted significant economic implications. Healthcare      spending is projected to shift toward technology-driven solutions,      creating opportunities for neuromorphic-enabled devices in bioelectronic      medicine, prosthetics, and remote monitoring. Strategic investments in      fabrication facilities, shared databases, and interdisciplinary training      will foster workforce development and stimulate innovation ecosystems.&lt;/li&gt;
&lt;li&gt;&lt;strong&gt;Interdisciplinary      Integration and Education&lt;/strong&gt;&lt;br /&gt; Broader impacts include fostering collaboration across engineering,      neuroscience, medicine, and regulatory science. The workshop emphasized      integrating healthcare professionals into technology development to ensure      usability and safety. Educational initiatives will be essential to train a      new generation of researchers fluent in neuromorphic principles and      clinical translation.&lt;/li&gt;
&lt;li&gt;&lt;strong&gt;Regulatory      and Ethical Frameworks&lt;/strong&gt;&lt;br /&gt; Participants acknowledged the need for proactive engagement with      regulatory agencies to align rapid technological advances with safety      standards. On-device processing for privacy-preserving neural data      analysis exemplifies how neuromorphic approaches can address ethical      concerns while enhancing therapeutic responsiveness.&lt;/li&gt;
&lt;li&gt;&lt;strong&gt;Scientific      Discovery Beyond Medicine&lt;/strong&gt;&lt;br /&gt; Neuromorphic systems serve as experimental platforms for studying neural      computation, offering insights into biological learning and adaptation.      Biohybrid systems (where silicon neurons interact with living tissue) could      accelerate neuroscience research and inspire novel therapeutic strategies.&lt;/li&gt;
&lt;/ol&gt;
&lt;p&gt;&lt;strong&gt;Conclusion&lt;/strong&gt;&lt;/p&gt;
&lt;p&gt;The NPBH Workshop illuminated a compelling vision: neuromorphic engineering as a catalyst for next-generation healthcare technologies that are energy-efficient, adaptive, and patient-centered. Its intellectual merits lie in advancing computational paradigms, hardware-software co-design, and foundational research for scalable, real-time biomedical systems. Its broader impacts encompass transformative healthcare delivery, economic growth, interdisciplinary collaboration, and societal benefit. Realizing this vision will require sustained investment, standardized frameworks, and inclusive partnerships across sectors. As one participant aptly summarized, &amp;ldquo;Use whatever works best:&amp;nbsp; if neuromorphic can deliver efficiency and adaptability, let&amp;rsquo;s get it into the clinic.&amp;rdquo;&lt;/p&gt;
&lt;p&gt;&amp;nbsp;&lt;/p&gt;&lt;br&gt;
&lt;p&gt;
 Last Modified: 10/08/2025&lt;br&gt;
Modified by: Ralph&amp;nbsp;Etienne-Cummings&lt;/p&gt;&lt;/div&gt;
&lt;div class="porSideCol"
&gt;&lt;/div&gt;
&lt;/div&gt;</t>
        </is>
      </c>
    </row>
    <row r="40" ht="18" customHeight="1">
      <c r="A40" s="22" t="inlineStr">
        <is>
          <t>2431810</t>
        </is>
      </c>
      <c r="B40" s="23" t="inlineStr">
        <is>
          <t>2024 Alan T. Waterman Award</t>
        </is>
      </c>
      <c r="C40" s="22" t="inlineStr">
        <is>
          <t>Standard Grant</t>
        </is>
      </c>
      <c r="D40" s="22" t="inlineStr">
        <is>
          <t>true</t>
        </is>
      </c>
      <c r="E40" s="22" t="inlineStr">
        <is>
          <t>06/21/2024</t>
        </is>
      </c>
      <c r="F40" s="22" t="inlineStr">
        <is>
          <t>07/01/2024</t>
        </is>
      </c>
      <c r="G40" s="22" t="inlineStr">
        <is>
          <t>06/30/2029</t>
        </is>
      </c>
      <c r="H40" s="22" t="inlineStr">
        <is>
          <t>2024</t>
        </is>
      </c>
      <c r="I40" s="24" t="n">
        <v>1000000</v>
      </c>
      <c r="J40" s="24" t="n">
        <v>1000000</v>
      </c>
      <c r="K40" s="22" t="inlineStr">
        <is>
          <t>Muyinatu</t>
        </is>
      </c>
      <c r="L40" s="22" t="inlineStr">
        <is>
          <t>Bell</t>
        </is>
      </c>
      <c r="M40" s="22" t="inlineStr">
        <is>
          <t>mledijubell@jhu.edu</t>
        </is>
      </c>
      <c r="N40" s="22" t="inlineStr"/>
      <c r="O40" s="22" t="inlineStr">
        <is>
          <t>Muyinatu A Bell</t>
        </is>
      </c>
      <c r="P40" s="22" t="inlineStr">
        <is>
          <t>Sylvia Spengler</t>
        </is>
      </c>
      <c r="Q40" s="22" t="inlineStr">
        <is>
          <t>sspengle@nsf.gov</t>
        </is>
      </c>
      <c r="R40" s="22" t="inlineStr">
        <is>
          <t>THE JOHNS HOPKINS UNIVERSITY</t>
        </is>
      </c>
      <c r="S40" s="22" t="inlineStr">
        <is>
          <t>BALTIMORE</t>
        </is>
      </c>
      <c r="T40" s="22" t="inlineStr">
        <is>
          <t>MD</t>
        </is>
      </c>
      <c r="U40" s="22" t="inlineStr">
        <is>
          <t>212182608</t>
        </is>
      </c>
      <c r="V40" s="22" t="inlineStr">
        <is>
          <t>FTMTDMBR29C7</t>
        </is>
      </c>
      <c r="W40" s="22" t="inlineStr"/>
      <c r="X40" s="22" t="inlineStr">
        <is>
          <t>MD</t>
        </is>
      </c>
      <c r="Y40" s="22" t="inlineStr">
        <is>
          <t>CSE</t>
        </is>
      </c>
      <c r="Z40" s="22" t="inlineStr">
        <is>
          <t>IIS</t>
        </is>
      </c>
      <c r="AA40" s="23" t="inlineStr">
        <is>
          <t>ATW-Alan T Waterman Award</t>
        </is>
      </c>
      <c r="AB40" s="22" t="inlineStr">
        <is>
          <t>WATERMAN AWARD</t>
        </is>
      </c>
      <c r="AC40" s="22" t="inlineStr">
        <is>
          <t>049Y00</t>
        </is>
      </c>
      <c r="AD40" s="22" t="inlineStr">
        <is>
          <t>041P</t>
        </is>
      </c>
      <c r="AE40" s="22" t="inlineStr">
        <is>
          <t>47.041, 47.070, 47.083</t>
        </is>
      </c>
      <c r="AF40" s="22" t="inlineStr">
        <is>
          <t>1</t>
        </is>
      </c>
      <c r="AG40" s="22" t="inlineStr">
        <is>
          <t>06/21/2024</t>
        </is>
      </c>
      <c r="AH40" s="22" t="inlineStr">
        <is>
          <t>06/21/2024</t>
        </is>
      </c>
      <c r="AI40" s="23" t="inlineStr">
        <is>
          <t>The National Science Foundation (NSF) has named Dr. Muyinatu Bell as the 2024 recipient of its Alan T. Waterman Award. This award is NSF's highest honor that annually recognizes an outstanding researcher age 40 years or younger and funds his or her research in any field of science or engineering. This year's awardee will receive a $1 million grant over a five-year period for further advanced study in her field.
Dr. Bell is  an associate professor at Johns Hopkins University, best known for inventing the short-lag spatial coherence (SLSC) ultrasound beamformer, which significantly improves ultrasound image quality by reducing acoustic clutter. She has also adapted the SLSC technology to photoacoustic imaging, most recently using it to overcome problems related to skin tone bias. Dr. Bell is a lecturer, mentor and scientific role model committed to engaging a diverse research community by serving in leadership roles on committees and programs aimed at supporting women in physics, computer science and engineering. She is the recipient of NSF awards from the Faculty Early Career Development (CAREER) program and the Smart Health program.
This award reflects NSF's statutory mission and has been deemed worthy of support through evaluation using the Foundation's intellectual merit and broader impacts review criteria.</t>
        </is>
      </c>
      <c r="AJ40" s="23" t="inlineStr"/>
    </row>
    <row r="41" ht="18" customHeight="1">
      <c r="A41" s="25" t="inlineStr">
        <is>
          <t>2446892</t>
        </is>
      </c>
      <c r="B41" s="26" t="inlineStr">
        <is>
          <t>Foams, Categorification, and Link Homology</t>
        </is>
      </c>
      <c r="C41" s="25" t="inlineStr">
        <is>
          <t>Standard Grant</t>
        </is>
      </c>
      <c r="D41" s="25" t="inlineStr">
        <is>
          <t>true</t>
        </is>
      </c>
      <c r="E41" s="25" t="inlineStr">
        <is>
          <t>08/28/2024</t>
        </is>
      </c>
      <c r="F41" s="25" t="inlineStr">
        <is>
          <t>07/01/2024</t>
        </is>
      </c>
      <c r="G41" s="25" t="inlineStr">
        <is>
          <t>06/30/2026</t>
        </is>
      </c>
      <c r="H41" s="25" t="inlineStr">
        <is>
          <t>2024</t>
        </is>
      </c>
      <c r="I41" s="27" t="n">
        <v>63237</v>
      </c>
      <c r="J41" s="27" t="n">
        <v>218762</v>
      </c>
      <c r="K41" s="25" t="inlineStr">
        <is>
          <t>Mikhail</t>
        </is>
      </c>
      <c r="L41" s="25" t="inlineStr">
        <is>
          <t>Khovanov</t>
        </is>
      </c>
      <c r="M41" s="25" t="inlineStr">
        <is>
          <t>khovanov@jhu.edu</t>
        </is>
      </c>
      <c r="N41" s="25" t="inlineStr"/>
      <c r="O41" s="25" t="inlineStr">
        <is>
          <t>Mikhail G Khovanov</t>
        </is>
      </c>
      <c r="P41" s="25" t="inlineStr">
        <is>
          <t>Swatee Naik</t>
        </is>
      </c>
      <c r="Q41" s="25" t="inlineStr">
        <is>
          <t>snaik@nsf.gov</t>
        </is>
      </c>
      <c r="R41" s="25" t="inlineStr">
        <is>
          <t>THE JOHNS HOPKINS UNIVERSITY</t>
        </is>
      </c>
      <c r="S41" s="25" t="inlineStr">
        <is>
          <t>BALTIMORE</t>
        </is>
      </c>
      <c r="T41" s="25" t="inlineStr">
        <is>
          <t>MD</t>
        </is>
      </c>
      <c r="U41" s="25" t="inlineStr">
        <is>
          <t>212182608</t>
        </is>
      </c>
      <c r="V41" s="25" t="inlineStr">
        <is>
          <t>FTMTDMBR29C7</t>
        </is>
      </c>
      <c r="W41" s="25" t="inlineStr">
        <is>
          <t>BALTIMORE</t>
        </is>
      </c>
      <c r="X41" s="25" t="inlineStr">
        <is>
          <t>MD</t>
        </is>
      </c>
      <c r="Y41" s="25" t="inlineStr">
        <is>
          <t>MPS</t>
        </is>
      </c>
      <c r="Z41" s="25" t="inlineStr">
        <is>
          <t>DMS</t>
        </is>
      </c>
      <c r="AA41" s="26" t="inlineStr">
        <is>
          <t>ALGEBRA,NUMBER THEORY,AND COM, TOPOLOGY</t>
        </is>
      </c>
      <c r="AB41" s="25" t="inlineStr"/>
      <c r="AC41" s="25" t="inlineStr">
        <is>
          <t>126400, 126700</t>
        </is>
      </c>
      <c r="AD41" s="25" t="inlineStr"/>
      <c r="AE41" s="25" t="inlineStr">
        <is>
          <t>47.049</t>
        </is>
      </c>
      <c r="AF41" s="25" t="inlineStr">
        <is>
          <t>1</t>
        </is>
      </c>
      <c r="AG41" s="25" t="inlineStr">
        <is>
          <t>08/28/2024</t>
        </is>
      </c>
      <c r="AH41" s="25" t="inlineStr">
        <is>
          <t>08/28/2024</t>
        </is>
      </c>
      <c r="AI41" s="26" t="inlineStr">
        <is>
          <t>Topology and geometry in low dimensions differ significantly from those in the stable, high-dimensional, range. One feature of low dimensions is the existence of deep structures known as TQFTs (Topological Quantum Field Theories), many originating in quantum physics and having applications to condensed matter, statistical mechanics and quantum field theory. The Prinicipal Investigator will be studying such topological theories of more general type, where the theory is known on topological objects without boundary (closed objects) and extended canonically to objects with boundary. These constructions proved fruitful for explicit combinatorial construction of link homology theories, where topological objects are foam-like two-dimensional structures embedded in 3-space. The author has recently shown that a semi-linear version of this construction in dimension one extends so-called finite state automata and regular languages, which is a classical subject in computer science. This opens possibility of many generalizations, including exploring connections between more general languages and topological theories and possible relations between two-dimensional theories and cellular automata. Further studies of topological theories and related topics of foams and link homology should lead to fruitful discoveries in low-dimensional topology and related fields.
More specifically, the project has three major goals. The first major goal is to further develop the theory of foams, their evaluations and applications in link homology and categorification. Foams are two-dimensional CW-complexes with generic singularities. They have proved instrumental in combinatorial approaches to GL(N) link homology theories and boast tantalizing connections to instanton Floer homology for orbifolds. The PI will further develop topological theories related to foams, with an eye towards technically difficult problems, such as computation of Kronheimer-Mrowka homology of embedded trivalent graphs and finding combinatorial counterpart of that homology. The second goal is to find approaches to several link homology theories, including Cautis, Webster and Qi-Sussan homologies, to establish their functoriality and extend to tangles and tangle cobordisms. A number of important link homology theories, including triply-graded HOMFLYPT homology, Webster, Cautis, and Qi-Sussan homology, are missing a functorial extension to tangle cobordisms and, in most cases, a related extensions to tangles. The PI will develop new approaches to these homology theories to redefine them, repair functoriality where necessary, and extend them to link cobordisms. The third goal is to understand universal theories in low dimensions. The PI will continue studying universal construction of topological theories, motivated by recent successes such as the interpretation of finite state automata and regular languages via one-dimensional topological theories with defects and taking values in the Boolean semiring B, where a regular language and a circular regular language give rise to a rigid symmetric monoidal B-linear category.
This award reflects NSF's statutory mission and has been deemed worthy of support through evaluation using the Foundation's intellectual merit and broader impacts review criteria.</t>
        </is>
      </c>
      <c r="AJ41" s="26" t="inlineStr"/>
    </row>
    <row r="42" ht="18" customHeight="1">
      <c r="A42" s="22" t="inlineStr">
        <is>
          <t>2348276</t>
        </is>
      </c>
      <c r="B42" s="23" t="inlineStr">
        <is>
          <t>De-novo protein crystals as mesoporous functional materials for critical element separations</t>
        </is>
      </c>
      <c r="C42" s="22" t="inlineStr">
        <is>
          <t>Standard Grant</t>
        </is>
      </c>
      <c r="D42" s="22" t="inlineStr">
        <is>
          <t>true</t>
        </is>
      </c>
      <c r="E42" s="22" t="inlineStr">
        <is>
          <t>06/14/2024</t>
        </is>
      </c>
      <c r="F42" s="22" t="inlineStr">
        <is>
          <t>07/01/2024</t>
        </is>
      </c>
      <c r="G42" s="22" t="inlineStr">
        <is>
          <t>06/30/2027</t>
        </is>
      </c>
      <c r="H42" s="22" t="inlineStr">
        <is>
          <t>2024</t>
        </is>
      </c>
      <c r="I42" s="24" t="n">
        <v>595476</v>
      </c>
      <c r="J42" s="24" t="n">
        <v>595476</v>
      </c>
      <c r="K42" s="22" t="inlineStr">
        <is>
          <t>DINGCHANG</t>
        </is>
      </c>
      <c r="L42" s="22" t="inlineStr">
        <is>
          <t>LIN</t>
        </is>
      </c>
      <c r="M42" s="22" t="inlineStr">
        <is>
          <t>dclin@jhu.edu</t>
        </is>
      </c>
      <c r="N42" s="22" t="inlineStr">
        <is>
          <t>Yayuan Liu yayuanliu@jhu.edu</t>
        </is>
      </c>
      <c r="O42" s="22" t="inlineStr">
        <is>
          <t>DINGCHANG LIN</t>
        </is>
      </c>
      <c r="P42" s="22" t="inlineStr">
        <is>
          <t>Daniel Savin</t>
        </is>
      </c>
      <c r="Q42" s="22" t="inlineStr">
        <is>
          <t>dsavin@nsf.gov</t>
        </is>
      </c>
      <c r="R42" s="22" t="inlineStr">
        <is>
          <t>THE JOHNS HOPKINS UNIVERSITY</t>
        </is>
      </c>
      <c r="S42" s="22" t="inlineStr">
        <is>
          <t>BALTIMORE</t>
        </is>
      </c>
      <c r="T42" s="22" t="inlineStr">
        <is>
          <t>MD</t>
        </is>
      </c>
      <c r="U42" s="22" t="inlineStr">
        <is>
          <t>212182608</t>
        </is>
      </c>
      <c r="V42" s="22" t="inlineStr">
        <is>
          <t>FTMTDMBR29C7</t>
        </is>
      </c>
      <c r="W42" s="22" t="inlineStr">
        <is>
          <t>BALTIMORE</t>
        </is>
      </c>
      <c r="X42" s="22" t="inlineStr">
        <is>
          <t>MD</t>
        </is>
      </c>
      <c r="Y42" s="22" t="inlineStr">
        <is>
          <t>MPS</t>
        </is>
      </c>
      <c r="Z42" s="22" t="inlineStr">
        <is>
          <t>DMR</t>
        </is>
      </c>
      <c r="AA42" s="23" t="inlineStr">
        <is>
          <t>BIOMATERIALS PROGRAM</t>
        </is>
      </c>
      <c r="AB42" s="22" t="inlineStr">
        <is>
          <t>ELEMENTARY/SECONDARY EDUCATION, BIO-RELATED MATERIALS RESEARCH, NANO NON-SOLIC SCI &amp; ENG AWD, UNDERGRADUATE EDUCATION, Nanomaterials</t>
        </is>
      </c>
      <c r="AC42" s="22" t="inlineStr">
        <is>
          <t>762300</t>
        </is>
      </c>
      <c r="AD42" s="22" t="inlineStr">
        <is>
          <t>9177, 7573, 7237, 9178, 8614</t>
        </is>
      </c>
      <c r="AE42" s="22" t="inlineStr">
        <is>
          <t>47.049</t>
        </is>
      </c>
      <c r="AF42" s="22" t="inlineStr">
        <is>
          <t>1</t>
        </is>
      </c>
      <c r="AG42" s="22" t="inlineStr">
        <is>
          <t>06/14/2024</t>
        </is>
      </c>
      <c r="AH42" s="22" t="inlineStr">
        <is>
          <t>06/14/2024</t>
        </is>
      </c>
      <c r="AI42" s="23" t="inlineStr">
        <is>
          <t>NON-TECHNICAL SUMMARY:
Many elements play essential roles in the advancement of technology. Critical elements, including rare earth metals, are vital for electronics, renewable energy, and advanced materials. However, the stable supply of these elements remains a challenge due to the limitations of the current extraction and separation methods that are high-cost, polluting, and/or geographically constrained. Nature has evolved sophisticated metal-binding peptides (MBPs) that selectively recognize and bind certain ions and molecules, which show great promise as a new modality for critical element separation. In practice, these MBPs need to be immobilized in a porous scaffold to facilitate the adsorption of targeted elements and promote the recycling of MBPs. The goal of this project is to study and develop a new class of immobilization substrates, namely mesoporous protein crystals, for critical element separation. Protein crystals show several appealing properties for MBP immobilization, including appropriate pore size and distribution, structural stability, and low toxicity, but they are limited by a low propensity of crystal nucleation. In this project, computationally designed protein crystals will be used to study the nucleation and growth behaviors of protein crystals. The structure-property relationship of protein crystals will be systemically characterized. The team will further evaluate immobilization strategies to maximize the density of MBPs in crystals while maintaining a sufficient porosity for ion diffusion. The capability of immobilized MBPs in sequestering critical elements will be evaluated and compared to the free MBPs. The success of the project will create a new MBP immobilization platform for efficient and selective critical element separation. The platform can be generalized to immobilize other materials for broader applications. Additionally, the project will provide valuable training and education opportunities to graduate, undergraduate, and high-school students by developing educational modules on advanced biomaterials for energy and sustainability. 
TECHNICAL SUMMARY:
This project aims to obtain a comprehensive understanding of protein crystals as immobilization substrates for critical element separation. The team will combine protein engineering and rational design to tune the assembly of protein crystals and unravel factors that impact the crystal nucleation and growth. Batch crystallization will be exploited for the scalable synthesis of protein crystals and their physicochemical properties in varied structures and binding affinity will be systemically investigated. The team will explore immobilization strategies that can maximize the gravimetric ratio of guest MBP proteins in the crystalline scaffold while maintaining stable immobilization without gradual loss of MBPs over time. The immobilization platform will be examined by immobilizing Lanmodulin (LanM), a protein derived from nature for selective sequestration of rare earth elements (REEs). The capability of LanM-crystal complexes in binding REEs and their selectivity over other bivalent and trivalent cations will be evaluated. The team will further test the performance of immobilized LanM in practical REE extraction scenarios, such as extraction from simulated low-grade leachate using fixed-bed columns packed with LanM-crystal complexes. The new immobilization platform will address the scalability, cost, and stability issues of protein-based adsorbents that traditionally hinder their deployment. The success of this project will also offer a secure and resilient critical elements supply chain essential to economic prosperity and national defense.
This award reflects NSF's statutory mission and has been deemed worthy of support through evaluation using the Foundation's intellectual merit and broader impacts review criteria.</t>
        </is>
      </c>
      <c r="AJ42" s="23" t="inlineStr"/>
    </row>
    <row r="43" ht="18" customHeight="1">
      <c r="A43" s="25" t="inlineStr">
        <is>
          <t>2411808</t>
        </is>
      </c>
      <c r="B43" s="26" t="inlineStr">
        <is>
          <t>Reconnection Onset in Overstretched Magnetotail Current Sheets</t>
        </is>
      </c>
      <c r="C43" s="25" t="inlineStr">
        <is>
          <t>Standard Grant</t>
        </is>
      </c>
      <c r="D43" s="25" t="inlineStr">
        <is>
          <t>true</t>
        </is>
      </c>
      <c r="E43" s="25" t="inlineStr">
        <is>
          <t>03/21/2024</t>
        </is>
      </c>
      <c r="F43" s="25" t="inlineStr">
        <is>
          <t>07/01/2024</t>
        </is>
      </c>
      <c r="G43" s="25" t="inlineStr">
        <is>
          <t>06/30/2027</t>
        </is>
      </c>
      <c r="H43" s="25" t="inlineStr">
        <is>
          <t>2024</t>
        </is>
      </c>
      <c r="I43" s="27" t="n">
        <v>594429</v>
      </c>
      <c r="J43" s="27" t="n">
        <v>594429</v>
      </c>
      <c r="K43" s="25" t="inlineStr">
        <is>
          <t>Mikhail</t>
        </is>
      </c>
      <c r="L43" s="25" t="inlineStr">
        <is>
          <t>Sitnov</t>
        </is>
      </c>
      <c r="M43" s="25" t="inlineStr">
        <is>
          <t>Mikhail.Sitnov@jhuapl.edu</t>
        </is>
      </c>
      <c r="N43" s="25" t="inlineStr">
        <is>
          <t>Grant K Stephens grant.stephens@jhuapl.edu, Harry Arnold harry.arnold@jhuapl.edu</t>
        </is>
      </c>
      <c r="O43" s="25" t="inlineStr">
        <is>
          <t>Mikhail Sitnov</t>
        </is>
      </c>
      <c r="P43" s="25" t="inlineStr">
        <is>
          <t>Andreas Keiling</t>
        </is>
      </c>
      <c r="Q43" s="25" t="inlineStr">
        <is>
          <t>akeiling@nsf.gov</t>
        </is>
      </c>
      <c r="R43" s="25" t="inlineStr">
        <is>
          <t>THE JOHNS HOPKINS UNIVERSITY</t>
        </is>
      </c>
      <c r="S43" s="25" t="inlineStr">
        <is>
          <t>BALTIMORE</t>
        </is>
      </c>
      <c r="T43" s="25" t="inlineStr">
        <is>
          <t>MD</t>
        </is>
      </c>
      <c r="U43" s="25" t="inlineStr">
        <is>
          <t>212182608</t>
        </is>
      </c>
      <c r="V43" s="25" t="inlineStr">
        <is>
          <t>FTMTDMBR29C7</t>
        </is>
      </c>
      <c r="W43" s="25" t="inlineStr">
        <is>
          <t>Laurel</t>
        </is>
      </c>
      <c r="X43" s="25" t="inlineStr">
        <is>
          <t>MD</t>
        </is>
      </c>
      <c r="Y43" s="25" t="inlineStr">
        <is>
          <t>GEO</t>
        </is>
      </c>
      <c r="Z43" s="25" t="inlineStr">
        <is>
          <t>AGS</t>
        </is>
      </c>
      <c r="AA43" s="26" t="inlineStr">
        <is>
          <t>MAGNETOSPHERIC PHYSICS</t>
        </is>
      </c>
      <c r="AB43" s="25" t="inlineStr"/>
      <c r="AC43" s="25" t="inlineStr">
        <is>
          <t>575000</t>
        </is>
      </c>
      <c r="AD43" s="25" t="inlineStr"/>
      <c r="AE43" s="25" t="inlineStr">
        <is>
          <t>47.050</t>
        </is>
      </c>
      <c r="AF43" s="25" t="inlineStr">
        <is>
          <t>1</t>
        </is>
      </c>
      <c r="AG43" s="25" t="inlineStr">
        <is>
          <t>03/21/2024</t>
        </is>
      </c>
      <c r="AH43" s="25" t="inlineStr">
        <is>
          <t>03/21/2024</t>
        </is>
      </c>
      <c r="AI43" s="26" t="inlineStr">
        <is>
          <t>As the solar wind flows past the Earth, it stretches our planet’s magnetic field lines away from the Sun, storing vast amounts of energy within the magnetic field while forming the magnetotail.  When this stretching reaches a critical level, the magnetic field lines reconnect, rapidly releasing the stored energy while powering important space weather effects, such as magnetospheric substorms, that can be hazardous to satellites and the power grid on Earth.  Understanding the physics describing the stretched magnetotail and reconnection onset is crucial to modeling and predicting space weather phenomena.  Reconnection onset requires the magnetotail current sheet (CS) to thin down to the scales of the plasma particles, such as protons or even electrons orbits, which are nearly microscopic compared to the vast expanse of the magnetotail.  This project aims to investigate the structure, stability, and reconnection regimes of these overstretched CSs to understand the mechanism of reconnection onset in the magnetotail and explain its observed location far outside the near-Earth region.  The data-mining component of the research will contribute to the relatively under-investigated area of machine learning dealing with little and sparse rather than big data.  The broader impacts of this project include hands-on research training for a graduate student, the career development of early career scientists, and interdisciplinary applications to the methodology developed.
The onset of reconnection in the magnetotail requires its current sheet (CS) to thin down to the thermal ion gyroradius (or thinner) to demagnetize ions (or even electrons) and to provide their Landau dissipation.  However, in isotropic plasmas, the ion-scale CSs inflate too rapidly with the distance from Earth to remain ion-scale at and beyond ~20 Earth’s radii, where most X-lines are observed.  A key to solving this problem was recently found due to the discovery of “overstretched” thin CS (OTCS): If an ion-scale CS is embedded into a much thicker CS with even a weak field-aligned ion anisotropy, its current density iso contours can be stretched way more than the magnetic field lines.  The goal of this project is to investigate the structure, stability, and reconnection regimes of OTCSs to answer the following fundamental science question: What is the mechanism of the reconnection onset in the magnetotail, which explains its observed location far outside the near-Earth region, and what are its global implications?  The effects of the negative CS charging and electron current domination suggested by recent observations, interplay between tearing and ballooning/interchange modes, as well as roles of external driving and local magnetic flux accumulation, will be investigated using new OTCS equilibria in 2D and 3D PIC simulations.  The impact of OTCS on the global scale structure and dynamics of the magnetosphere will be assessed by adding their empirical reconstructions obtained by mining a multi-mission and multi-decade database of spaceborne magnetometers and new-generation magnetic field architectures to a global MHD model of the magnetosphere.
This award reflects NSF's statutory mission and has been deemed worthy of support through evaluation using the Foundation's intellectual merit and broader impacts review criteria.</t>
        </is>
      </c>
      <c r="AJ43" s="26" t="inlineStr"/>
    </row>
    <row r="44" ht="18" customHeight="1">
      <c r="A44" s="22" t="inlineStr">
        <is>
          <t>2348996</t>
        </is>
      </c>
      <c r="B44" s="23" t="inlineStr">
        <is>
          <t>Variable Coefficient Fourier Analysis</t>
        </is>
      </c>
      <c r="C44" s="22" t="inlineStr">
        <is>
          <t>Continuing Grant</t>
        </is>
      </c>
      <c r="D44" s="22" t="inlineStr">
        <is>
          <t>true</t>
        </is>
      </c>
      <c r="E44" s="22" t="inlineStr">
        <is>
          <t>04/05/2024</t>
        </is>
      </c>
      <c r="F44" s="22" t="inlineStr">
        <is>
          <t>07/01/2024</t>
        </is>
      </c>
      <c r="G44" s="22" t="inlineStr">
        <is>
          <t>06/30/2027</t>
        </is>
      </c>
      <c r="H44" s="22" t="inlineStr">
        <is>
          <t>2024</t>
        </is>
      </c>
      <c r="I44" s="24" t="n">
        <v>260288</v>
      </c>
      <c r="J44" s="24" t="n">
        <v>390912</v>
      </c>
      <c r="K44" s="22" t="inlineStr">
        <is>
          <t>Christopher</t>
        </is>
      </c>
      <c r="L44" s="22" t="inlineStr">
        <is>
          <t>Sogge</t>
        </is>
      </c>
      <c r="M44" s="22" t="inlineStr">
        <is>
          <t>sogge@jhu.edu</t>
        </is>
      </c>
      <c r="N44" s="22" t="inlineStr"/>
      <c r="O44" s="22" t="inlineStr">
        <is>
          <t>Christopher D Sogge</t>
        </is>
      </c>
      <c r="P44" s="22" t="inlineStr">
        <is>
          <t>Wing Suet Li</t>
        </is>
      </c>
      <c r="Q44" s="22" t="inlineStr">
        <is>
          <t>winli@nsf.gov</t>
        </is>
      </c>
      <c r="R44" s="22" t="inlineStr">
        <is>
          <t>THE JOHNS HOPKINS UNIVERSITY</t>
        </is>
      </c>
      <c r="S44" s="22" t="inlineStr">
        <is>
          <t>BALTIMORE</t>
        </is>
      </c>
      <c r="T44" s="22" t="inlineStr">
        <is>
          <t>MD</t>
        </is>
      </c>
      <c r="U44" s="22" t="inlineStr">
        <is>
          <t>212182608</t>
        </is>
      </c>
      <c r="V44" s="22" t="inlineStr">
        <is>
          <t>FTMTDMBR29C7</t>
        </is>
      </c>
      <c r="W44" s="22" t="inlineStr">
        <is>
          <t>BALTIMORE</t>
        </is>
      </c>
      <c r="X44" s="22" t="inlineStr">
        <is>
          <t>MD</t>
        </is>
      </c>
      <c r="Y44" s="22" t="inlineStr">
        <is>
          <t>MPS</t>
        </is>
      </c>
      <c r="Z44" s="22" t="inlineStr">
        <is>
          <t>DMS</t>
        </is>
      </c>
      <c r="AA44" s="23" t="inlineStr">
        <is>
          <t>ANALYSIS PROGRAM</t>
        </is>
      </c>
      <c r="AB44" s="22" t="inlineStr"/>
      <c r="AC44" s="22" t="inlineStr">
        <is>
          <t>128100</t>
        </is>
      </c>
      <c r="AD44" s="22" t="inlineStr"/>
      <c r="AE44" s="22" t="inlineStr">
        <is>
          <t>47.049</t>
        </is>
      </c>
      <c r="AF44" s="22" t="inlineStr">
        <is>
          <t>1</t>
        </is>
      </c>
      <c r="AG44" s="22" t="inlineStr">
        <is>
          <t>04/05/2024</t>
        </is>
      </c>
      <c r="AH44" s="22" t="inlineStr">
        <is>
          <t>08/14/2025</t>
        </is>
      </c>
      <c r="AI44" s="23" t="inlineStr">
        <is>
          <t>The PI will study several problems in Geometric Harmonic Analysis.  The settings for these problems involve geometric manifolds of dimension two or more.  Associated with a given manifold are fundamental objects called eigenfunctions.  These are the fundamental modes of vibration of the manifold, and they are the higher dimensional analogs of the familiar trigonometric functions for the circle.  Designers of musical instruments are well aware that the shape of, say, a drum or the soundboard of stringed instrument affects the basic tones that it omits, as well as the sound volume.  Similar phenomena arise for manifolds, and the PI will study precisely how their shapes, such as how they are curved, affect the properties properties of eigenfunctions.  Just as in music, one particularly expects different shapes and geometries to become more apparent in the behavior of the fundamental modes of vibration as the frequency becomes larger and larger.  These eigenfunctions are solutions of a differential equation that is similar to the wave equation, and the PI will study similar problems involving it.  The general theme is to study how solutions of wave equations are affected by their physical backgrounds, such as whether or not black holes are present or whether the background becomes very close to a vacuum near infinity. This project provides research training opportunities for graduate students.
Among the specific problems the PI shall study, they wish to obtain improved estimates that measure the size and concentration of eigenfunctions.  In order to do this, they will develop what is called ``global harmonic analysis’’, which is a mixture of classical harmonic analysis, microlocal analysis, and techniques from geometry.  The basic estimates are Lp-estimates for eigenfunctions and quasimodes and related highly localized L2 estimates that are sensitive to concentration.  The main questions center around how the geometry and the global dynamics of the geodesic flow affect the estimates and the kinds of functions that saturate them.  The latter issue is closely related to the much-studied (but still not well-understood) questions of concentration, oscillation, and size properties of modes and quasimodes in spectral asymptotics.  These questions are also naturally linked to the long-time properties of the solution operator for the wave equation, Schrodinger equation, and resolvent estimates coming from the metric Laplacian.  High frequency solutions and obtaining sharp results under geometric assumptions are particularly interesting.  They will also study functions that saturate the estimates in different ways depending on the sign of the sectional curvatures of the manifolds.
This award reflects NSF's statutory mission and has been deemed worthy of support through evaluation using the Foundation's intellectual merit and broader impacts review criteria.</t>
        </is>
      </c>
      <c r="AJ44" s="23" t="inlineStr"/>
    </row>
    <row r="45" ht="18" customHeight="1">
      <c r="A45" s="25" t="inlineStr">
        <is>
          <t>2402407</t>
        </is>
      </c>
      <c r="B45" s="26" t="inlineStr">
        <is>
          <t>Dual Series Gate Configuration, Materials Design, and Mechanistic Modeling for Drift-Stabilized, Highly Sensitive Organic Electrochemical Transistor Biosensors</t>
        </is>
      </c>
      <c r="C45" s="25" t="inlineStr">
        <is>
          <t>Standard Grant</t>
        </is>
      </c>
      <c r="D45" s="25" t="inlineStr">
        <is>
          <t>true</t>
        </is>
      </c>
      <c r="E45" s="25" t="inlineStr">
        <is>
          <t>04/09/2024</t>
        </is>
      </c>
      <c r="F45" s="25" t="inlineStr">
        <is>
          <t>07/01/2024</t>
        </is>
      </c>
      <c r="G45" s="25" t="inlineStr">
        <is>
          <t>06/30/2027</t>
        </is>
      </c>
      <c r="H45" s="25" t="inlineStr">
        <is>
          <t>2024</t>
        </is>
      </c>
      <c r="I45" s="27" t="n">
        <v>450000</v>
      </c>
      <c r="J45" s="27" t="n">
        <v>450000</v>
      </c>
      <c r="K45" s="25" t="inlineStr">
        <is>
          <t>Howard</t>
        </is>
      </c>
      <c r="L45" s="25" t="inlineStr">
        <is>
          <t>Katz</t>
        </is>
      </c>
      <c r="M45" s="25" t="inlineStr">
        <is>
          <t>hekatz@jhu.edu</t>
        </is>
      </c>
      <c r="N45" s="25" t="inlineStr">
        <is>
          <t>Tine Curk tcurk@jhu.edu</t>
        </is>
      </c>
      <c r="O45" s="25" t="inlineStr">
        <is>
          <t>Howard E Katz</t>
        </is>
      </c>
      <c r="P45" s="25" t="inlineStr">
        <is>
          <t>Aleksandr Simonian</t>
        </is>
      </c>
      <c r="Q45" s="25" t="inlineStr">
        <is>
          <t>asimonia@nsf.gov</t>
        </is>
      </c>
      <c r="R45" s="25" t="inlineStr">
        <is>
          <t>THE JOHNS HOPKINS UNIVERSITY</t>
        </is>
      </c>
      <c r="S45" s="25" t="inlineStr">
        <is>
          <t>BALTIMORE</t>
        </is>
      </c>
      <c r="T45" s="25" t="inlineStr">
        <is>
          <t>MD</t>
        </is>
      </c>
      <c r="U45" s="25" t="inlineStr">
        <is>
          <t>212182608</t>
        </is>
      </c>
      <c r="V45" s="25" t="inlineStr">
        <is>
          <t>FTMTDMBR29C7</t>
        </is>
      </c>
      <c r="W45" s="25" t="inlineStr">
        <is>
          <t>BALTIMORE</t>
        </is>
      </c>
      <c r="X45" s="25" t="inlineStr">
        <is>
          <t>MD</t>
        </is>
      </c>
      <c r="Y45" s="25" t="inlineStr">
        <is>
          <t>ENG</t>
        </is>
      </c>
      <c r="Z45" s="25" t="inlineStr">
        <is>
          <t>CBET</t>
        </is>
      </c>
      <c r="AA45" s="26" t="inlineStr">
        <is>
          <t>BIOSENS-Biosensing</t>
        </is>
      </c>
      <c r="AB45" s="25" t="inlineStr">
        <is>
          <t>SENSORS AND SENSING SYSTEMS, Sensor Technology</t>
        </is>
      </c>
      <c r="AC45" s="25" t="inlineStr">
        <is>
          <t>790900</t>
        </is>
      </c>
      <c r="AD45" s="25" t="inlineStr">
        <is>
          <t>1639, 8028</t>
        </is>
      </c>
      <c r="AE45" s="25" t="inlineStr">
        <is>
          <t>47.041</t>
        </is>
      </c>
      <c r="AF45" s="25" t="inlineStr">
        <is>
          <t>1</t>
        </is>
      </c>
      <c r="AG45" s="25" t="inlineStr">
        <is>
          <t>04/09/2024</t>
        </is>
      </c>
      <c r="AH45" s="25" t="inlineStr">
        <is>
          <t>04/09/2024</t>
        </is>
      </c>
      <c r="AI45" s="26" t="inlineStr">
        <is>
          <t>Many medical conditions can be detected or diagnosed by analyzing chemical compounds circulating in bodily fluids. Some of the compounds with the most specific connection to diseases are proteins. To confidently detect proteins quickly and easily, electronic sensors that signal when they are in contact with the proteins are needed. One way to improve the certainty that a sensor signal is indicating the presence of a particular protein is to  remove signals that come from other compounds in the liquids being analyzed, like salt, fats, or non-target proteins. This project will investigate a new circuit, constructed with new biologically-derived electronic materials, designed to remove these unwanted signals. If one part of a circuit responds to an interfering protein, another part cancels the signal out. The activities of the proposal include making new electronic materials for the circuits and devising computer models that teach the mechanism by which the materials would respond when used. Other activities will attract and train students at multiple levels, high school through college, in materials, electronic, computer, and analytical technologies. Graduate students will gain highly multidisciplinary training, including polymer synthesis, surface electronics, device technology, and theoretical modeling. Students from underrepresented minority populations will be recruited to work on this project through outreach to the summer “Explore Engineering Innovation” and “Biomedical Engineering Innovation” courses at Johns Hopkins University. A demonstration and modeling activity for this course will be developed.
There is an ongoing need for fast, sensitive, and stable sensors for disease biomarkers. Electronic biosensors signal biomarker complexation to receptors via changes in local electronic parameters such as interfacial potential and complex impedance. The origins of these parameter changes include ionic redistributions, functional group reorientation, and changes in the polarizability of receptors and are reported via field-effect transistors (FETs). However, FET baseline instability remains a barrier to sensitive and reliable biomarker detection. This project explores an unprecedented “dual-series gate” organic electrochemical transistor (DS-OECT) that substantially cancels baseline instability for greater signal/drift ratios, enabling assignment of instability to surface potential and impedance fluctuations. A pair of device interfaces connected in opposite polarities decrease response drift, increasing the probability of correct analyte identification. The objectives include material synthesis, device fabrication, computer modeling, and biological fluid analysis. Various hypotheses about the device response mechanisms will be tested.
This award reflects NSF's statutory mission and has been deemed worthy of support through evaluation using the Foundation's intellectual merit and broader impacts review criteria.</t>
        </is>
      </c>
      <c r="AJ45" s="26" t="inlineStr"/>
    </row>
    <row r="46" ht="18" customHeight="1">
      <c r="A46" s="22" t="inlineStr">
        <is>
          <t>2403939</t>
        </is>
      </c>
      <c r="B46" s="23" t="inlineStr">
        <is>
          <t>Research Infrastructure: SuperMAG--New Science Capabilities and Continued Operation</t>
        </is>
      </c>
      <c r="C46" s="22" t="inlineStr">
        <is>
          <t>Continuing Grant</t>
        </is>
      </c>
      <c r="D46" s="22" t="inlineStr">
        <is>
          <t>true</t>
        </is>
      </c>
      <c r="E46" s="22" t="inlineStr">
        <is>
          <t>05/24/2024</t>
        </is>
      </c>
      <c r="F46" s="22" t="inlineStr">
        <is>
          <t>07/01/2024</t>
        </is>
      </c>
      <c r="G46" s="22" t="inlineStr">
        <is>
          <t>06/30/2029</t>
        </is>
      </c>
      <c r="H46" s="22" t="inlineStr">
        <is>
          <t>2024</t>
        </is>
      </c>
      <c r="I46" s="24" t="n">
        <v>673286</v>
      </c>
      <c r="J46" s="24" t="n">
        <v>1107716</v>
      </c>
      <c r="K46" s="22" t="inlineStr">
        <is>
          <t>Rafael Luiz</t>
        </is>
      </c>
      <c r="L46" s="22" t="inlineStr">
        <is>
          <t>Araujo de Mesquita</t>
        </is>
      </c>
      <c r="M46" s="22" t="inlineStr">
        <is>
          <t>rafael.mesquita@jhuapl.edu</t>
        </is>
      </c>
      <c r="N46" s="22" t="inlineStr"/>
      <c r="O46" s="22" t="inlineStr">
        <is>
          <t>Rafael Luiz Araujo de Mesquita</t>
        </is>
      </c>
      <c r="P46" s="22" t="inlineStr">
        <is>
          <t>Lina Patino</t>
        </is>
      </c>
      <c r="Q46" s="22" t="inlineStr">
        <is>
          <t>lpatino@nsf.gov</t>
        </is>
      </c>
      <c r="R46" s="22" t="inlineStr">
        <is>
          <t>THE JOHNS HOPKINS UNIVERSITY</t>
        </is>
      </c>
      <c r="S46" s="22" t="inlineStr">
        <is>
          <t>BALTIMORE</t>
        </is>
      </c>
      <c r="T46" s="22" t="inlineStr">
        <is>
          <t>MD</t>
        </is>
      </c>
      <c r="U46" s="22" t="inlineStr">
        <is>
          <t>212182608</t>
        </is>
      </c>
      <c r="V46" s="22" t="inlineStr">
        <is>
          <t>FTMTDMBR29C7</t>
        </is>
      </c>
      <c r="W46" s="22" t="inlineStr">
        <is>
          <t>Laurel</t>
        </is>
      </c>
      <c r="X46" s="22" t="inlineStr">
        <is>
          <t>MD</t>
        </is>
      </c>
      <c r="Y46" s="22" t="inlineStr">
        <is>
          <t>GEO</t>
        </is>
      </c>
      <c r="Z46" s="22" t="inlineStr">
        <is>
          <t>AGS</t>
        </is>
      </c>
      <c r="AA46" s="23" t="inlineStr">
        <is>
          <t>Upper Atmospheric Facilities</t>
        </is>
      </c>
      <c r="AB46" s="22" t="inlineStr">
        <is>
          <t>INTERDISCIPLINARY PROPOSALS</t>
        </is>
      </c>
      <c r="AC46" s="22" t="inlineStr">
        <is>
          <t>420200</t>
        </is>
      </c>
      <c r="AD46" s="22" t="inlineStr">
        <is>
          <t>4444</t>
        </is>
      </c>
      <c r="AE46" s="22" t="inlineStr">
        <is>
          <t>47.050</t>
        </is>
      </c>
      <c r="AF46" s="22" t="inlineStr">
        <is>
          <t>1</t>
        </is>
      </c>
      <c r="AG46" s="22" t="inlineStr">
        <is>
          <t>05/24/2024</t>
        </is>
      </c>
      <c r="AH46" s="22" t="inlineStr">
        <is>
          <t>12/02/2025</t>
        </is>
      </c>
      <c r="AI46" s="23" t="inlineStr">
        <is>
          <t>Ground-based magnetometers have remained essential for the Geospace community for decades. More than 600 ground-based stations worldwide are mostly part of the SuperMAG collaboration. This dataset provides nearly global, continuous, and decade-long monitoring of the ground-level magnetic field, allowing a wide range of studies. A dataset collected by stations operated in some 100 nations naturally comes with a long list of complexities that prevent extensive studies and make the dataset inaccessible for students and non-experts. SuperMAG is designed to overcome these problems and provide easy access to validated and uniform data, plots, and various derived products. SuperMAG has a record of enabling opportunities to produce world-class science results and publish in high-impact science journals. Beyond the research community, SuperMAG targets the general public, particularly teachers and students, by having easy-to-understand data products and figures. SuperMAG has over 4000 registered users who utilize the service in about 200 peer-reviewed papers and more than ten theses annually.  
The project's main objective is twofold: 1) continued support for SuperMAG and 2) development of new capabilities to enhance the existing service. SuperMAG provides an interface for a broad range of users to access data from magnetometers distributed worldwide. SuperMAG provides validated measurements of magnetic field perturbations from all operational stations in the same coordinate system, with identical time resolution and a common baseline removal approach. In addition, several derived data products are provided, which enable a broad range of scientific studies.
This award reflects NSF's statutory mission and has been deemed worthy of support through evaluation using the Foundation's intellectual merit and broader impacts review criteria.</t>
        </is>
      </c>
      <c r="AJ46" s="23" t="inlineStr"/>
    </row>
    <row r="47" ht="18" customHeight="1">
      <c r="A47" s="25" t="inlineStr">
        <is>
          <t>2401554</t>
        </is>
      </c>
      <c r="B47" s="26" t="inlineStr">
        <is>
          <t>Functoriality for Relative Trace Formulas</t>
        </is>
      </c>
      <c r="C47" s="25" t="inlineStr">
        <is>
          <t>Continuing Grant</t>
        </is>
      </c>
      <c r="D47" s="25" t="inlineStr">
        <is>
          <t>true</t>
        </is>
      </c>
      <c r="E47" s="25" t="inlineStr">
        <is>
          <t>04/04/2024</t>
        </is>
      </c>
      <c r="F47" s="25" t="inlineStr">
        <is>
          <t>07/01/2024</t>
        </is>
      </c>
      <c r="G47" s="25" t="inlineStr">
        <is>
          <t>06/30/2027</t>
        </is>
      </c>
      <c r="H47" s="25" t="inlineStr">
        <is>
          <t>2024</t>
        </is>
      </c>
      <c r="I47" s="27" t="n">
        <v>209095</v>
      </c>
      <c r="J47" s="27" t="n">
        <v>312005</v>
      </c>
      <c r="K47" s="25" t="inlineStr">
        <is>
          <t>Ioannis</t>
        </is>
      </c>
      <c r="L47" s="25" t="inlineStr">
        <is>
          <t>Sakellaridis</t>
        </is>
      </c>
      <c r="M47" s="25" t="inlineStr">
        <is>
          <t>sakellar@jhu.edu</t>
        </is>
      </c>
      <c r="N47" s="25" t="inlineStr"/>
      <c r="O47" s="25" t="inlineStr">
        <is>
          <t>Ioannis Sakellaridis</t>
        </is>
      </c>
      <c r="P47" s="25" t="inlineStr">
        <is>
          <t>Adriana Salerno</t>
        </is>
      </c>
      <c r="Q47" s="25" t="inlineStr">
        <is>
          <t>asalerno@nsf.gov</t>
        </is>
      </c>
      <c r="R47" s="25" t="inlineStr">
        <is>
          <t>THE JOHNS HOPKINS UNIVERSITY</t>
        </is>
      </c>
      <c r="S47" s="25" t="inlineStr">
        <is>
          <t>BALTIMORE</t>
        </is>
      </c>
      <c r="T47" s="25" t="inlineStr">
        <is>
          <t>MD</t>
        </is>
      </c>
      <c r="U47" s="25" t="inlineStr">
        <is>
          <t>212182608</t>
        </is>
      </c>
      <c r="V47" s="25" t="inlineStr">
        <is>
          <t>FTMTDMBR29C7</t>
        </is>
      </c>
      <c r="W47" s="25" t="inlineStr">
        <is>
          <t>BALTIMORE</t>
        </is>
      </c>
      <c r="X47" s="25" t="inlineStr">
        <is>
          <t>MD</t>
        </is>
      </c>
      <c r="Y47" s="25" t="inlineStr">
        <is>
          <t>MPS</t>
        </is>
      </c>
      <c r="Z47" s="25" t="inlineStr">
        <is>
          <t>DMS</t>
        </is>
      </c>
      <c r="AA47" s="26" t="inlineStr">
        <is>
          <t>ALGEBRA,NUMBER THEORY,AND COM</t>
        </is>
      </c>
      <c r="AB47" s="25" t="inlineStr"/>
      <c r="AC47" s="25" t="inlineStr">
        <is>
          <t>126400</t>
        </is>
      </c>
      <c r="AD47" s="25" t="inlineStr"/>
      <c r="AE47" s="25" t="inlineStr">
        <is>
          <t>47.049</t>
        </is>
      </c>
      <c r="AF47" s="25" t="inlineStr">
        <is>
          <t>1</t>
        </is>
      </c>
      <c r="AG47" s="25" t="inlineStr">
        <is>
          <t>04/04/2024</t>
        </is>
      </c>
      <c r="AH47" s="25" t="inlineStr">
        <is>
          <t>08/14/2025</t>
        </is>
      </c>
      <c r="AI47" s="26" t="inlineStr">
        <is>
          <t>The Langlands functoriality conjecture, that "different arithmetic drums share some common eigenfrequencies," has immense applications in number theory, among others to the century-old conjectures due to Ramanujan and others about the size of coefficients of special functions called automorphic forms. The PI and his collaborators have broadened this conjecture to the so-called "relative" setting, which includes methods of studying special values of L-functions (also called zeta functions), such as in the prominent, and more recent, conjectures of Gan, Gross, and Prasad. The main tool for proving important instances of functoriality so far has been the trace formula, but in its current form it has nearly reached its limits. This project will examine ways to prove these conjectures by use of the idea of quantization, whose origins lie in mathematical physics. This idea will be used to construct novel ways of comparing (relative) trace formulas, drastically expanding their potential reach and applicability. The broader impacts of the project include conference organization and mentoring of graduate students.
The PI has already shown, in prior work, that in some low-rank cases one can establish relative functoriality via some novel "transfer operators" between relative trace formulas. Such non-standard comparisons of trace formulas were envisioned in Langlands's "Beyond Endoscopy" proposal; the "relative" setting allows for more flexibility, and more potential applications, for the exploration of such comparisons. Prior work was focused mostly on the case when the L-groups associated to the relative trace formulas are of rank one. The main goal of this project will be to examine ways to generalize the construction of transfer operators to higher rank. The main idea is to view a trace formula as the quantization of its cotangent stack, which in turn is largely controlled by the L-group. Using natural correspondences between such cotangent stacks, the project aims to construct transfer operators between their quantizations. On a separate track, the project will continue work on the duality of Hamiltonian spaces conjectured in the PI's recent work with Ben-Zvi and Venkatesh, with the aim of extending this duality beyond the hyperspherical setting, and exploring applications for the representation theory of p-adic groups.
This award reflects NSF's statutory mission and has been deemed worthy of support through evaluation using the Foundation's intellectual merit and broader impacts review criteria.</t>
        </is>
      </c>
      <c r="AJ47" s="26" t="inlineStr"/>
    </row>
    <row r="48" ht="18" customHeight="1">
      <c r="A48" s="22" t="inlineStr">
        <is>
          <t>2349649</t>
        </is>
      </c>
      <c r="B48" s="23" t="inlineStr">
        <is>
          <t>CAS: Structure and Mechanism for Energy Capture from Anionic Seebeck Effects in Polymers</t>
        </is>
      </c>
      <c r="C48" s="22" t="inlineStr">
        <is>
          <t>Standard Grant</t>
        </is>
      </c>
      <c r="D48" s="22" t="inlineStr">
        <is>
          <t>true</t>
        </is>
      </c>
      <c r="E48" s="22" t="inlineStr">
        <is>
          <t>03/22/2024</t>
        </is>
      </c>
      <c r="F48" s="22" t="inlineStr">
        <is>
          <t>07/01/2024</t>
        </is>
      </c>
      <c r="G48" s="22" t="inlineStr">
        <is>
          <t>06/30/2027</t>
        </is>
      </c>
      <c r="H48" s="22" t="inlineStr">
        <is>
          <t>2024</t>
        </is>
      </c>
      <c r="I48" s="24" t="n">
        <v>498500</v>
      </c>
      <c r="J48" s="24" t="n">
        <v>498500</v>
      </c>
      <c r="K48" s="22" t="inlineStr">
        <is>
          <t>Howard</t>
        </is>
      </c>
      <c r="L48" s="22" t="inlineStr">
        <is>
          <t>Katz</t>
        </is>
      </c>
      <c r="M48" s="22" t="inlineStr">
        <is>
          <t>hekatz@jhu.edu</t>
        </is>
      </c>
      <c r="N48" s="22" t="inlineStr">
        <is>
          <t>Paulette Clancy pclancy3@jhu.edu</t>
        </is>
      </c>
      <c r="O48" s="22" t="inlineStr">
        <is>
          <t>Howard E Katz</t>
        </is>
      </c>
      <c r="P48" s="22" t="inlineStr">
        <is>
          <t>Tingyu Li</t>
        </is>
      </c>
      <c r="Q48" s="22" t="inlineStr">
        <is>
          <t>tli@nsf.gov</t>
        </is>
      </c>
      <c r="R48" s="22" t="inlineStr">
        <is>
          <t>THE JOHNS HOPKINS UNIVERSITY</t>
        </is>
      </c>
      <c r="S48" s="22" t="inlineStr">
        <is>
          <t>BALTIMORE</t>
        </is>
      </c>
      <c r="T48" s="22" t="inlineStr">
        <is>
          <t>MD</t>
        </is>
      </c>
      <c r="U48" s="22" t="inlineStr">
        <is>
          <t>212182608</t>
        </is>
      </c>
      <c r="V48" s="22" t="inlineStr">
        <is>
          <t>FTMTDMBR29C7</t>
        </is>
      </c>
      <c r="W48" s="22" t="inlineStr">
        <is>
          <t>BALTIMORE</t>
        </is>
      </c>
      <c r="X48" s="22" t="inlineStr">
        <is>
          <t>MD</t>
        </is>
      </c>
      <c r="Y48" s="22" t="inlineStr">
        <is>
          <t>MPS</t>
        </is>
      </c>
      <c r="Z48" s="22" t="inlineStr">
        <is>
          <t>CHE</t>
        </is>
      </c>
      <c r="AA48" s="23" t="inlineStr">
        <is>
          <t>CMFP-Chem Mech Funct, and Prop</t>
        </is>
      </c>
      <c r="AB48" s="22" t="inlineStr">
        <is>
          <t>Clean Energy Technology, CAS-Critical Aspects of Sustainability, Other Energy Research</t>
        </is>
      </c>
      <c r="AC48" s="22" t="inlineStr">
        <is>
          <t>910200</t>
        </is>
      </c>
      <c r="AD48" s="22" t="inlineStr">
        <is>
          <t>8396, 090Z, 8609</t>
        </is>
      </c>
      <c r="AE48" s="22" t="inlineStr">
        <is>
          <t>47.049</t>
        </is>
      </c>
      <c r="AF48" s="22" t="inlineStr">
        <is>
          <t>1</t>
        </is>
      </c>
      <c r="AG48" s="22" t="inlineStr">
        <is>
          <t>03/22/2024</t>
        </is>
      </c>
      <c r="AH48" s="22" t="inlineStr">
        <is>
          <t>03/22/2024</t>
        </is>
      </c>
      <c r="AI48" s="23" t="inlineStr">
        <is>
          <t>With support from the Chemical Structure, Dynamics &amp; Mechanisms-B Program of the Chemistry Division, Professors Howard Katz of the Departments of Materials Science and Engineering and of Chemistry, and Paulette Clancy of the Department of Chemical and Biomolecular Engineering at Johns Hopkins University are developing a new type of material that can produce an electrical force when one side of the material is hotter than the other side.   The electrical force comes from the rearrangement of charged atoms called ions, like the sodium and chloride of table salt.  The heat energy that was used to cause this rearrangement can be recovered as more useful electrical energy.  For example, this energy could be used to recharge a battery.  This is a desirable way to utilize energy because the heat is often inexpensive or even free, such as from the sun or from the heat produced from applying brakes to a vehicle.  The project will provide training for students at undergraduate, masters, and doctoral levels, including from the historically African-American Coppin State and Morgan State Universities, in making polymers and studying their electronic properties.  Furthermore, these students will be trained in computer modeling and artificial intelligence-guided materials design.  
The ionic Seebeck effect in polymers, which produces a voltage from a difference in temperature, is an attractive means of harvesting electrical energy because the heat source is often free or might otherwise be wasted. It is driven by differences in the most stable arrangements of different charged species, creating an imbalance of charge in regions that differ in temperature.  The chemical basis for this effect has had only limited prior analysis.  The objectives of this proposal are to synthesize a rational set of cationic polymers with mobile counterions of varied size from which structure-activity relationships will be obtained governing the anionic Seebeck coefficient, and to perform experimental and computational tests of these materials to produce the necessary thermoelectric data and structural/electronic models, respectively.  This study aims to derive and develop the first mechanistic explanation of the origin of Seebeck coefficients based on the redistribution of anions in media where anions are the principal mobile charge carriers, with the goal of developing more efficient conversion of heat to stored electrical energy. If successful, these studies have the potential for broad scientific impact in the areas of energy science, electrochemistry and sustainable chemistry solutions.
This award reflects NSF's statutory mission and has been deemed worthy of support through evaluation using the Foundation's intellectual merit and broader impacts review criteria.</t>
        </is>
      </c>
      <c r="AJ48" s="23" t="inlineStr"/>
    </row>
    <row r="49" ht="18" customHeight="1">
      <c r="A49" s="25" t="inlineStr">
        <is>
          <t>2404257</t>
        </is>
      </c>
      <c r="B49" s="26" t="inlineStr">
        <is>
          <t>Entropically Constrained Self-Limiting Supramolecular Polymerization</t>
        </is>
      </c>
      <c r="C49" s="25" t="inlineStr">
        <is>
          <t>Standard Grant</t>
        </is>
      </c>
      <c r="D49" s="25" t="inlineStr">
        <is>
          <t>true</t>
        </is>
      </c>
      <c r="E49" s="25" t="inlineStr">
        <is>
          <t>04/30/2024</t>
        </is>
      </c>
      <c r="F49" s="25" t="inlineStr">
        <is>
          <t>07/01/2024</t>
        </is>
      </c>
      <c r="G49" s="25" t="inlineStr">
        <is>
          <t>06/30/2027</t>
        </is>
      </c>
      <c r="H49" s="25" t="inlineStr">
        <is>
          <t>2024</t>
        </is>
      </c>
      <c r="I49" s="27" t="n">
        <v>645000</v>
      </c>
      <c r="J49" s="27" t="n">
        <v>645000</v>
      </c>
      <c r="K49" s="25" t="inlineStr">
        <is>
          <t>Honggang</t>
        </is>
      </c>
      <c r="L49" s="25" t="inlineStr">
        <is>
          <t>Cui</t>
        </is>
      </c>
      <c r="M49" s="25" t="inlineStr">
        <is>
          <t>hcui6@jhu.edu</t>
        </is>
      </c>
      <c r="N49" s="25" t="inlineStr">
        <is>
          <t>Thi Vo tvo12@jhu.edu</t>
        </is>
      </c>
      <c r="O49" s="25" t="inlineStr">
        <is>
          <t>Honggang Cui</t>
        </is>
      </c>
      <c r="P49" s="25" t="inlineStr">
        <is>
          <t>Stephen Boyes</t>
        </is>
      </c>
      <c r="Q49" s="25" t="inlineStr">
        <is>
          <t>sboyes@nsf.gov</t>
        </is>
      </c>
      <c r="R49" s="25" t="inlineStr">
        <is>
          <t>THE JOHNS HOPKINS UNIVERSITY</t>
        </is>
      </c>
      <c r="S49" s="25" t="inlineStr">
        <is>
          <t>BALTIMORE</t>
        </is>
      </c>
      <c r="T49" s="25" t="inlineStr">
        <is>
          <t>MD</t>
        </is>
      </c>
      <c r="U49" s="25" t="inlineStr">
        <is>
          <t>212182608</t>
        </is>
      </c>
      <c r="V49" s="25" t="inlineStr">
        <is>
          <t>FTMTDMBR29C7</t>
        </is>
      </c>
      <c r="W49" s="25" t="inlineStr">
        <is>
          <t>BALTIMORE</t>
        </is>
      </c>
      <c r="X49" s="25" t="inlineStr">
        <is>
          <t>MD</t>
        </is>
      </c>
      <c r="Y49" s="25" t="inlineStr">
        <is>
          <t>MPS</t>
        </is>
      </c>
      <c r="Z49" s="25" t="inlineStr">
        <is>
          <t>CHE</t>
        </is>
      </c>
      <c r="AA49" s="26" t="inlineStr">
        <is>
          <t>Macromolec/Supramolec/Nano</t>
        </is>
      </c>
      <c r="AB49" s="25" t="inlineStr">
        <is>
          <t>NANO NON-SOLIC SCI &amp; ENG AWD, BIO-RELATED MATERIALS RESEARCH, Advanced Manufacturing, Nanomaterials, COMPUTATIONAL SCIENCE &amp; ENGING</t>
        </is>
      </c>
      <c r="AC49" s="25" t="inlineStr">
        <is>
          <t>688500</t>
        </is>
      </c>
      <c r="AD49" s="25" t="inlineStr">
        <is>
          <t>7237, 7573, 8037, 8614, 9263</t>
        </is>
      </c>
      <c r="AE49" s="25" t="inlineStr">
        <is>
          <t>47.049</t>
        </is>
      </c>
      <c r="AF49" s="25" t="inlineStr">
        <is>
          <t>1</t>
        </is>
      </c>
      <c r="AG49" s="25" t="inlineStr">
        <is>
          <t>04/30/2024</t>
        </is>
      </c>
      <c r="AH49" s="25" t="inlineStr">
        <is>
          <t>04/30/2024</t>
        </is>
      </c>
      <c r="AI49" s="26" t="inlineStr">
        <is>
          <t>With the support of the Macromolecular and Nanochemistry Program in the Division of Chemistry, Honggang Cui and Thi Vo of Johns Hopkins University will combine experimental and computational modeling techniques to explore how small molecular units can be assembled into designed supramolecular polymers. These innovative polymers blend the strength and flexibility of traditional plastics with useful features like self-healing, recyclability, and responsiveness to environmental stimuli, but controlling their structure and properties remains challenging. This research aims to uncover the fundamental factors that influence how these materials are synthesized, paving the way for advanced applications in energy storage, medical implants, and drug delivery. In addition to publications and conferences, results of this research will be disseminated via educational and outreach programs designed to reach diverse students from K12 to graduate levels. Both faculty leads play active roles in supporting undergraduate research, and women in engineering initiatives, as well as outreach programs in Baltimore's inner-city schools to foster diversity in science, technology, engineering and mathematics (STEM).
This project will employ the parallel use of experimental and computational methods to explore the essential self-assembly characteristics of multi-armed aromatic amphiphiles. By harnessing the adjustable features of entropy constraints in supramolecular design, the research aims to limit supramolecular propagation below a predefined threshold. To achieve these objectives, three key questions will be addressed. (i) Can the contour length of a supramolecular polymer be fine-tuned through strategic molecular design and/or control of its polymerization kinetics? (ii) What are the crucial factors (e.g. nucleation mechanism and growth kinetics) that regulate supramolecular polymerization? (iii) Can theoretical and computational results be utilized to define molecular principles and create blueprints for achieving self-limiting supramolecular polymerization? These studies seek to reveal the entropic parameters that govern supramolecular growth, ultimately to establish a self-limiting polymerization mechanism that would enable precise control over supramolecular polymer length and length distribution.  Correlations between molecular features and thermodynamics and kinetics associated with supramolecular polymerization will be sought throughout the project. A successful outcome will enhance foundational understanding of molecular design, chemical structure, and supramolecular dimension relationships in supramolecular polymeric systems, with potentially far-reaching implications for the development of advanced supramolecular materials.
This award reflects NSF's statutory mission and has been deemed worthy of support through evaluation using the Foundation's intellectual merit and broader impacts review criteria.</t>
        </is>
      </c>
      <c r="AJ49" s="26" t="inlineStr"/>
    </row>
    <row r="50" ht="18" customHeight="1">
      <c r="A50" s="22" t="inlineStr">
        <is>
          <t>2339682</t>
        </is>
      </c>
      <c r="B50" s="23" t="inlineStr">
        <is>
          <t>CAREER: Symmetries and Classical Physics in Machine Learning for Science and Engineering</t>
        </is>
      </c>
      <c r="C50" s="22" t="inlineStr">
        <is>
          <t>Continuing Grant</t>
        </is>
      </c>
      <c r="D50" s="22" t="inlineStr">
        <is>
          <t>true</t>
        </is>
      </c>
      <c r="E50" s="22" t="inlineStr">
        <is>
          <t>01/02/2024</t>
        </is>
      </c>
      <c r="F50" s="22" t="inlineStr">
        <is>
          <t>07/01/2024</t>
        </is>
      </c>
      <c r="G50" s="22" t="inlineStr">
        <is>
          <t>06/30/2029</t>
        </is>
      </c>
      <c r="H50" s="22" t="inlineStr">
        <is>
          <t>2024</t>
        </is>
      </c>
      <c r="I50" s="24" t="n">
        <v>411872</v>
      </c>
      <c r="J50" s="24" t="n">
        <v>593633</v>
      </c>
      <c r="K50" s="22" t="inlineStr">
        <is>
          <t>Soledad</t>
        </is>
      </c>
      <c r="L50" s="22" t="inlineStr">
        <is>
          <t>Villar</t>
        </is>
      </c>
      <c r="M50" s="22" t="inlineStr">
        <is>
          <t>svillar3@jhu.edu</t>
        </is>
      </c>
      <c r="N50" s="22" t="inlineStr"/>
      <c r="O50" s="22" t="inlineStr">
        <is>
          <t>Soledad Villar</t>
        </is>
      </c>
      <c r="P50" s="22" t="inlineStr">
        <is>
          <t>Phillip Regalia</t>
        </is>
      </c>
      <c r="Q50" s="22" t="inlineStr">
        <is>
          <t>pregalia@nsf.gov</t>
        </is>
      </c>
      <c r="R50" s="22" t="inlineStr">
        <is>
          <t>THE JOHNS HOPKINS UNIVERSITY</t>
        </is>
      </c>
      <c r="S50" s="22" t="inlineStr">
        <is>
          <t>BALTIMORE</t>
        </is>
      </c>
      <c r="T50" s="22" t="inlineStr">
        <is>
          <t>MD</t>
        </is>
      </c>
      <c r="U50" s="22" t="inlineStr">
        <is>
          <t>212182608</t>
        </is>
      </c>
      <c r="V50" s="22" t="inlineStr">
        <is>
          <t>FTMTDMBR29C7</t>
        </is>
      </c>
      <c r="W50" s="22" t="inlineStr">
        <is>
          <t>BALTIMORE</t>
        </is>
      </c>
      <c r="X50" s="22" t="inlineStr">
        <is>
          <t>MD</t>
        </is>
      </c>
      <c r="Y50" s="22" t="inlineStr">
        <is>
          <t>CSE</t>
        </is>
      </c>
      <c r="Z50" s="22" t="inlineStr">
        <is>
          <t>CCF</t>
        </is>
      </c>
      <c r="AA50" s="23" t="inlineStr">
        <is>
          <t>Information Technology Researc, Comm &amp; Information Foundations</t>
        </is>
      </c>
      <c r="AB50" s="22" t="inlineStr">
        <is>
          <t>Machine Learning Theory, CAREER-Faculty Erly Career Dev, WOMEN, MINORITY, DISABLED, NEC, CLB-Career Life Balance</t>
        </is>
      </c>
      <c r="AC50" s="22" t="inlineStr">
        <is>
          <t>164000, 779700</t>
        </is>
      </c>
      <c r="AD50" s="22" t="inlineStr">
        <is>
          <t>079Z, 1045, 9102, CL10</t>
        </is>
      </c>
      <c r="AE50" s="22" t="inlineStr">
        <is>
          <t>47.070</t>
        </is>
      </c>
      <c r="AF50" s="22" t="inlineStr">
        <is>
          <t>1</t>
        </is>
      </c>
      <c r="AG50" s="22" t="inlineStr">
        <is>
          <t>01/02/2024</t>
        </is>
      </c>
      <c r="AH50" s="22" t="inlineStr">
        <is>
          <t>08/24/2025</t>
        </is>
      </c>
      <c r="AI50" s="23" t="inlineStr">
        <is>
          <t>The description of physical theories in terms of their symmetries –and the transformation rules of coordinate freedom– played a fundamental role in important developments in physics, including the discovery of general relativity. In modern machine learning, symmetries are key to the design of deep learning architectures: From the translation symmetry of convolutional neural networks; to the permutation symmetry of graph neural networks; to transformers, which are, in principle, permutation equivariant. This project, inspired by physics principles, develops new mathematical and computational techniques to further exploit symmetries and differential geometry in the design of machine learning models. In particular, it will focus on representation learning and physics emulation on point clouds and vector fields. The developed techniques will be applied to problems in cosmology and climate science in collaboration with physicists at New York University. The project involves PhD students from Johns Hopkins and high school student interns from Baltimore City public schools. It also includes activities to promote research in Latin America, and community-building activities for women in math and engineering.
The project's first aim is to improve representation learning techniques that embed data such as text or images in a latent space in a self-supervised fashion. Based on recent work that introduced an algebraic structure in the embedding space through approximate group equivariance, the developed methods will enable users to translate interpretable modifications to the input data into linear transformations in the embedding space. This will refine the usability of the learned embeddings by providing a causal structure to the learned representations. We achieve this implicitly, using invariant theory, and explicitly, by learning a special (disentangled) coordinate system with differential geometry techniques. The project's second aim is to develop coordinate-free emulation methods for cosmology and climate science. One approach is to implement algorithms for point clouds that are invariant with respect to permutations and orthogonal (or Lorentz) transformations, on which n-body simulations can be built. In another approach, machine learning methods are built for vector and tensor fields, based on geometric principles from modern classical physics, discretized onto image grids. Success in these projects will lead to more accurate emulation with fewer expensive full-resolution simulations for the training sets.
This award reflects NSF's statutory mission and has been deemed worthy of support through evaluation using the Foundation's intellectual merit and broader impacts review criteria.</t>
        </is>
      </c>
      <c r="AJ50" s="23" t="inlineStr"/>
    </row>
    <row r="51" ht="18" customHeight="1">
      <c r="A51" s="25" t="inlineStr">
        <is>
          <t>2432415</t>
        </is>
      </c>
      <c r="B51" s="26" t="inlineStr">
        <is>
          <t>NSF Future Manufacturing Grantees Conference; Washington, DC; 1-2 August 2024</t>
        </is>
      </c>
      <c r="C51" s="25" t="inlineStr">
        <is>
          <t>Standard Grant</t>
        </is>
      </c>
      <c r="D51" s="25" t="inlineStr">
        <is>
          <t>true</t>
        </is>
      </c>
      <c r="E51" s="25" t="inlineStr">
        <is>
          <t>07/10/2024</t>
        </is>
      </c>
      <c r="F51" s="25" t="inlineStr">
        <is>
          <t>07/01/2024</t>
        </is>
      </c>
      <c r="G51" s="25" t="inlineStr">
        <is>
          <t>06/30/2026</t>
        </is>
      </c>
      <c r="H51" s="25" t="inlineStr">
        <is>
          <t>2024</t>
        </is>
      </c>
      <c r="I51" s="27" t="n">
        <v>99955</v>
      </c>
      <c r="J51" s="27" t="n">
        <v>99955</v>
      </c>
      <c r="K51" s="25" t="inlineStr">
        <is>
          <t>Michael</t>
        </is>
      </c>
      <c r="L51" s="25" t="inlineStr">
        <is>
          <t>Betenbaugh</t>
        </is>
      </c>
      <c r="M51" s="25" t="inlineStr">
        <is>
          <t>beten@jhu.edu</t>
        </is>
      </c>
      <c r="N51" s="25" t="inlineStr"/>
      <c r="O51" s="25" t="inlineStr">
        <is>
          <t>Michael J Betenbaugh</t>
        </is>
      </c>
      <c r="P51" s="25" t="inlineStr">
        <is>
          <t>Janis Terpenny</t>
        </is>
      </c>
      <c r="Q51" s="25" t="inlineStr">
        <is>
          <t>jterpenn@nsf.gov</t>
        </is>
      </c>
      <c r="R51" s="25" t="inlineStr">
        <is>
          <t>THE JOHNS HOPKINS UNIVERSITY</t>
        </is>
      </c>
      <c r="S51" s="25" t="inlineStr">
        <is>
          <t>BALTIMORE</t>
        </is>
      </c>
      <c r="T51" s="25" t="inlineStr">
        <is>
          <t>MD</t>
        </is>
      </c>
      <c r="U51" s="25" t="inlineStr">
        <is>
          <t>212182608</t>
        </is>
      </c>
      <c r="V51" s="25" t="inlineStr">
        <is>
          <t>FTMTDMBR29C7</t>
        </is>
      </c>
      <c r="W51" s="25" t="inlineStr">
        <is>
          <t>BALTIMORE</t>
        </is>
      </c>
      <c r="X51" s="25" t="inlineStr">
        <is>
          <t>MD</t>
        </is>
      </c>
      <c r="Y51" s="25" t="inlineStr">
        <is>
          <t>ENG</t>
        </is>
      </c>
      <c r="Z51" s="25" t="inlineStr">
        <is>
          <t>CMMI</t>
        </is>
      </c>
      <c r="AA51" s="26" t="inlineStr">
        <is>
          <t>AM-Advanced Manufacturing</t>
        </is>
      </c>
      <c r="AB51" s="25" t="inlineStr">
        <is>
          <t>CONFERENCE AND WORKSHOPS, Advanced Manufacturing</t>
        </is>
      </c>
      <c r="AC51" s="25" t="inlineStr">
        <is>
          <t>088Y00</t>
        </is>
      </c>
      <c r="AD51" s="25" t="inlineStr">
        <is>
          <t>7556, 8037</t>
        </is>
      </c>
      <c r="AE51" s="25" t="inlineStr">
        <is>
          <t>47.041</t>
        </is>
      </c>
      <c r="AF51" s="25" t="inlineStr">
        <is>
          <t>1</t>
        </is>
      </c>
      <c r="AG51" s="25" t="inlineStr">
        <is>
          <t>07/10/2024</t>
        </is>
      </c>
      <c r="AH51" s="25" t="inlineStr">
        <is>
          <t>07/10/2024</t>
        </is>
      </c>
      <c r="AI51" s="26" t="inlineStr">
        <is>
          <t>This award funds a conference to bring together Future Manufacturing (FM) grantees and program officers from the National Science Foundation (NSF), and other federal agencies as appropriate. FM was created to support fundamental research, education, and training of a future workforce to catalyze the development of new and innovative manufacturing capabilities that do not exist today. FM aims to promote US leadership in advanced manufacturing, and enable advances in the fields of cyber-, eco- and biomanufacturing. This conference brings together FM awardees to foster engagement within the advanced manufacturing community across multiple domains including academia, industry, and government, to highlight progress in diverse areas of research, to identify new collaborative endeavors, and to address future grand challenges in the field. The following topics will be discussed throughout the conference: 1) Advanced Manufacturing Technologies, 2) Building Resilience into Manufacturing, 3) Translation into Commercial Sectors, 4) Sustainability in Manufacturing and 5) Education and Training Initiatives and Broader Impacts.
A primary goal of this conference is to assess the current status and opportunities for FM across the US. Aims being pursued at this event include: 1) bringing together FM investigators to report on current project findings to date in partnership with the NSF, 2) interacting with other FM awardees to identify synergies and collaborations, 3) identifying methods to transition successful FM projects into the marketplace, 4) developing practices to expand workforce participation in diverse and inclusive environments. The conference will include oral sessions on FM-related activities and topics, breakout sessions on broad topics of common interest, and poster sessions outlining research advances by PIs. Results from the conference will be published for the FM research and broader community via a Conference Proceedings that will include a compilation of project abstracts. The conference will be held in downtown Washington DC 1-2 August 2024.
This award reflects NSF's statutory mission and has been deemed worthy of support through evaluation using the Foundation's intellectual merit and broader impacts review criteria.</t>
        </is>
      </c>
      <c r="AJ51" s="26" t="inlineStr"/>
    </row>
    <row r="52" ht="18" customHeight="1">
      <c r="A52" s="22" t="inlineStr">
        <is>
          <t>2349649</t>
        </is>
      </c>
      <c r="B52" s="23" t="inlineStr">
        <is>
          <t>CAS: Structure and Mechanism for Energy Capture from Anionic Seebeck Effects in Polymers</t>
        </is>
      </c>
      <c r="C52" s="22" t="inlineStr">
        <is>
          <t>Standard Grant</t>
        </is>
      </c>
      <c r="D52" s="22" t="inlineStr">
        <is>
          <t>true</t>
        </is>
      </c>
      <c r="E52" s="22" t="inlineStr">
        <is>
          <t>03/22/2024</t>
        </is>
      </c>
      <c r="F52" s="22" t="inlineStr">
        <is>
          <t>07/01/2024</t>
        </is>
      </c>
      <c r="G52" s="22" t="inlineStr">
        <is>
          <t>06/30/2027</t>
        </is>
      </c>
      <c r="H52" s="22" t="inlineStr">
        <is>
          <t>2024</t>
        </is>
      </c>
      <c r="I52" s="24" t="n">
        <v>498500</v>
      </c>
      <c r="J52" s="24" t="n">
        <v>498500</v>
      </c>
      <c r="K52" s="22" t="inlineStr">
        <is>
          <t>Howard</t>
        </is>
      </c>
      <c r="L52" s="22" t="inlineStr">
        <is>
          <t>Katz</t>
        </is>
      </c>
      <c r="M52" s="22" t="inlineStr">
        <is>
          <t>hekatz@jhu.edu</t>
        </is>
      </c>
      <c r="N52" s="22" t="inlineStr">
        <is>
          <t>Paulette Clancy pclancy3@jhu.edu</t>
        </is>
      </c>
      <c r="O52" s="22" t="inlineStr">
        <is>
          <t>Howard E Katz</t>
        </is>
      </c>
      <c r="P52" s="22" t="inlineStr">
        <is>
          <t>Tingyu Li</t>
        </is>
      </c>
      <c r="Q52" s="22" t="inlineStr">
        <is>
          <t>tli@nsf.gov</t>
        </is>
      </c>
      <c r="R52" s="22" t="inlineStr">
        <is>
          <t>THE JOHNS HOPKINS UNIVERSITY</t>
        </is>
      </c>
      <c r="S52" s="22" t="inlineStr">
        <is>
          <t>BALTIMORE</t>
        </is>
      </c>
      <c r="T52" s="22" t="inlineStr">
        <is>
          <t>MD</t>
        </is>
      </c>
      <c r="U52" s="22" t="inlineStr">
        <is>
          <t>212182608</t>
        </is>
      </c>
      <c r="V52" s="22" t="inlineStr">
        <is>
          <t>FTMTDMBR29C7</t>
        </is>
      </c>
      <c r="W52" s="22" t="inlineStr">
        <is>
          <t>BALTIMORE</t>
        </is>
      </c>
      <c r="X52" s="22" t="inlineStr">
        <is>
          <t>MD</t>
        </is>
      </c>
      <c r="Y52" s="22" t="inlineStr">
        <is>
          <t>MPS</t>
        </is>
      </c>
      <c r="Z52" s="22" t="inlineStr">
        <is>
          <t>CHE</t>
        </is>
      </c>
      <c r="AA52" s="23" t="inlineStr">
        <is>
          <t>CMFP-Chem Mech Funct, and Prop</t>
        </is>
      </c>
      <c r="AB52" s="22" t="inlineStr">
        <is>
          <t>Clean Energy Technology, CAS-Critical Aspects of Sustainability, Other Energy Research</t>
        </is>
      </c>
      <c r="AC52" s="22" t="inlineStr">
        <is>
          <t>910200</t>
        </is>
      </c>
      <c r="AD52" s="22" t="inlineStr">
        <is>
          <t>8396, 090Z, 8609</t>
        </is>
      </c>
      <c r="AE52" s="22" t="inlineStr">
        <is>
          <t>47.049</t>
        </is>
      </c>
      <c r="AF52" s="22" t="inlineStr">
        <is>
          <t>1</t>
        </is>
      </c>
      <c r="AG52" s="22" t="inlineStr">
        <is>
          <t>03/22/2024</t>
        </is>
      </c>
      <c r="AH52" s="22" t="inlineStr">
        <is>
          <t>03/22/2024</t>
        </is>
      </c>
      <c r="AI52" s="23" t="inlineStr">
        <is>
          <t>With support from the Chemical Structure, Dynamics &amp; Mechanisms-B Program of the Chemistry Division, Professors Howard Katz of the Departments of Materials Science and Engineering and of Chemistry, and Paulette Clancy of the Department of Chemical and Biomolecular Engineering at Johns Hopkins University are developing a new type of material that can produce an electrical force when one side of the material is hotter than the other side.   The electrical force comes from the rearrangement of charged atoms called ions, like the sodium and chloride of table salt.  The heat energy that was used to cause this rearrangement can be recovered as more useful electrical energy.  For example, this energy could be used to recharge a battery.  This is a desirable way to utilize energy because the heat is often inexpensive or even free, such as from the sun or from the heat produced from applying brakes to a vehicle.  The project will provide training for students at undergraduate, masters, and doctoral levels, including from the historically African-American Coppin State and Morgan State Universities, in making polymers and studying their electronic properties.  Furthermore, these students will be trained in computer modeling and artificial intelligence-guided materials design.  
The ionic Seebeck effect in polymers, which produces a voltage from a difference in temperature, is an attractive means of harvesting electrical energy because the heat source is often free or might otherwise be wasted. It is driven by differences in the most stable arrangements of different charged species, creating an imbalance of charge in regions that differ in temperature.  The chemical basis for this effect has had only limited prior analysis.  The objectives of this proposal are to synthesize a rational set of cationic polymers with mobile counterions of varied size from which structure-activity relationships will be obtained governing the anionic Seebeck coefficient, and to perform experimental and computational tests of these materials to produce the necessary thermoelectric data and structural/electronic models, respectively.  This study aims to derive and develop the first mechanistic explanation of the origin of Seebeck coefficients based on the redistribution of anions in media where anions are the principal mobile charge carriers, with the goal of developing more efficient conversion of heat to stored electrical energy. If successful, these studies have the potential for broad scientific impact in the areas of energy science, electrochemistry and sustainable chemistry solutions.
This award reflects NSF's statutory mission and has been deemed worthy of support through evaluation using the Foundation's intellectual merit and broader impacts review criteria.</t>
        </is>
      </c>
      <c r="AJ52" s="23" t="inlineStr"/>
    </row>
    <row r="53" ht="18" customHeight="1">
      <c r="A53" s="25" t="inlineStr">
        <is>
          <t>2401554</t>
        </is>
      </c>
      <c r="B53" s="26" t="inlineStr">
        <is>
          <t>Functoriality for Relative Trace Formulas</t>
        </is>
      </c>
      <c r="C53" s="25" t="inlineStr">
        <is>
          <t>Continuing Grant</t>
        </is>
      </c>
      <c r="D53" s="25" t="inlineStr">
        <is>
          <t>true</t>
        </is>
      </c>
      <c r="E53" s="25" t="inlineStr">
        <is>
          <t>04/04/2024</t>
        </is>
      </c>
      <c r="F53" s="25" t="inlineStr">
        <is>
          <t>07/01/2024</t>
        </is>
      </c>
      <c r="G53" s="25" t="inlineStr">
        <is>
          <t>06/30/2027</t>
        </is>
      </c>
      <c r="H53" s="25" t="inlineStr">
        <is>
          <t>2024</t>
        </is>
      </c>
      <c r="I53" s="27" t="n">
        <v>209095</v>
      </c>
      <c r="J53" s="27" t="n">
        <v>312005</v>
      </c>
      <c r="K53" s="25" t="inlineStr">
        <is>
          <t>Ioannis</t>
        </is>
      </c>
      <c r="L53" s="25" t="inlineStr">
        <is>
          <t>Sakellaridis</t>
        </is>
      </c>
      <c r="M53" s="25" t="inlineStr">
        <is>
          <t>sakellar@jhu.edu</t>
        </is>
      </c>
      <c r="N53" s="25" t="inlineStr"/>
      <c r="O53" s="25" t="inlineStr">
        <is>
          <t>Ioannis Sakellaridis</t>
        </is>
      </c>
      <c r="P53" s="25" t="inlineStr">
        <is>
          <t>Adriana Salerno</t>
        </is>
      </c>
      <c r="Q53" s="25" t="inlineStr">
        <is>
          <t>asalerno@nsf.gov</t>
        </is>
      </c>
      <c r="R53" s="25" t="inlineStr">
        <is>
          <t>THE JOHNS HOPKINS UNIVERSITY</t>
        </is>
      </c>
      <c r="S53" s="25" t="inlineStr">
        <is>
          <t>BALTIMORE</t>
        </is>
      </c>
      <c r="T53" s="25" t="inlineStr">
        <is>
          <t>MD</t>
        </is>
      </c>
      <c r="U53" s="25" t="inlineStr">
        <is>
          <t>212182608</t>
        </is>
      </c>
      <c r="V53" s="25" t="inlineStr">
        <is>
          <t>FTMTDMBR29C7</t>
        </is>
      </c>
      <c r="W53" s="25" t="inlineStr">
        <is>
          <t>BALTIMORE</t>
        </is>
      </c>
      <c r="X53" s="25" t="inlineStr">
        <is>
          <t>MD</t>
        </is>
      </c>
      <c r="Y53" s="25" t="inlineStr">
        <is>
          <t>MPS</t>
        </is>
      </c>
      <c r="Z53" s="25" t="inlineStr">
        <is>
          <t>DMS</t>
        </is>
      </c>
      <c r="AA53" s="26" t="inlineStr">
        <is>
          <t>ALGEBRA,NUMBER THEORY,AND COM</t>
        </is>
      </c>
      <c r="AB53" s="25" t="inlineStr"/>
      <c r="AC53" s="25" t="inlineStr">
        <is>
          <t>126400</t>
        </is>
      </c>
      <c r="AD53" s="25" t="inlineStr"/>
      <c r="AE53" s="25" t="inlineStr">
        <is>
          <t>47.049</t>
        </is>
      </c>
      <c r="AF53" s="25" t="inlineStr">
        <is>
          <t>1</t>
        </is>
      </c>
      <c r="AG53" s="25" t="inlineStr">
        <is>
          <t>04/04/2024</t>
        </is>
      </c>
      <c r="AH53" s="25" t="inlineStr">
        <is>
          <t>08/14/2025</t>
        </is>
      </c>
      <c r="AI53" s="26" t="inlineStr">
        <is>
          <t>The Langlands functoriality conjecture, that "different arithmetic drums share some common eigenfrequencies," has immense applications in number theory, among others to the century-old conjectures due to Ramanujan and others about the size of coefficients of special functions called automorphic forms. The PI and his collaborators have broadened this conjecture to the so-called "relative" setting, which includes methods of studying special values of L-functions (also called zeta functions), such as in the prominent, and more recent, conjectures of Gan, Gross, and Prasad. The main tool for proving important instances of functoriality so far has been the trace formula, but in its current form it has nearly reached its limits. This project will examine ways to prove these conjectures by use of the idea of quantization, whose origins lie in mathematical physics. This idea will be used to construct novel ways of comparing (relative) trace formulas, drastically expanding their potential reach and applicability. The broader impacts of the project include conference organization and mentoring of graduate students.
The PI has already shown, in prior work, that in some low-rank cases one can establish relative functoriality via some novel "transfer operators" between relative trace formulas. Such non-standard comparisons of trace formulas were envisioned in Langlands's "Beyond Endoscopy" proposal; the "relative" setting allows for more flexibility, and more potential applications, for the exploration of such comparisons. Prior work was focused mostly on the case when the L-groups associated to the relative trace formulas are of rank one. The main goal of this project will be to examine ways to generalize the construction of transfer operators to higher rank. The main idea is to view a trace formula as the quantization of its cotangent stack, which in turn is largely controlled by the L-group. Using natural correspondences between such cotangent stacks, the project aims to construct transfer operators between their quantizations. On a separate track, the project will continue work on the duality of Hamiltonian spaces conjectured in the PI's recent work with Ben-Zvi and Venkatesh, with the aim of extending this duality beyond the hyperspherical setting, and exploring applications for the representation theory of p-adic groups.
This award reflects NSF's statutory mission and has been deemed worthy of support through evaluation using the Foundation's intellectual merit and broader impacts review criteria.</t>
        </is>
      </c>
      <c r="AJ53" s="26" t="inlineStr"/>
    </row>
    <row r="54" ht="18" customHeight="1">
      <c r="A54" s="22" t="inlineStr">
        <is>
          <t>2339682</t>
        </is>
      </c>
      <c r="B54" s="23" t="inlineStr">
        <is>
          <t>CAREER: Symmetries and Classical Physics in Machine Learning for Science and Engineering</t>
        </is>
      </c>
      <c r="C54" s="22" t="inlineStr">
        <is>
          <t>Continuing Grant</t>
        </is>
      </c>
      <c r="D54" s="22" t="inlineStr">
        <is>
          <t>true</t>
        </is>
      </c>
      <c r="E54" s="22" t="inlineStr">
        <is>
          <t>01/02/2024</t>
        </is>
      </c>
      <c r="F54" s="22" t="inlineStr">
        <is>
          <t>07/01/2024</t>
        </is>
      </c>
      <c r="G54" s="22" t="inlineStr">
        <is>
          <t>06/30/2029</t>
        </is>
      </c>
      <c r="H54" s="22" t="inlineStr">
        <is>
          <t>2024</t>
        </is>
      </c>
      <c r="I54" s="24" t="n">
        <v>411872</v>
      </c>
      <c r="J54" s="24" t="n">
        <v>593633</v>
      </c>
      <c r="K54" s="22" t="inlineStr">
        <is>
          <t>Soledad</t>
        </is>
      </c>
      <c r="L54" s="22" t="inlineStr">
        <is>
          <t>Villar</t>
        </is>
      </c>
      <c r="M54" s="22" t="inlineStr">
        <is>
          <t>svillar3@jhu.edu</t>
        </is>
      </c>
      <c r="N54" s="22" t="inlineStr"/>
      <c r="O54" s="22" t="inlineStr">
        <is>
          <t>Soledad Villar</t>
        </is>
      </c>
      <c r="P54" s="22" t="inlineStr">
        <is>
          <t>Phillip Regalia</t>
        </is>
      </c>
      <c r="Q54" s="22" t="inlineStr">
        <is>
          <t>pregalia@nsf.gov</t>
        </is>
      </c>
      <c r="R54" s="22" t="inlineStr">
        <is>
          <t>THE JOHNS HOPKINS UNIVERSITY</t>
        </is>
      </c>
      <c r="S54" s="22" t="inlineStr">
        <is>
          <t>BALTIMORE</t>
        </is>
      </c>
      <c r="T54" s="22" t="inlineStr">
        <is>
          <t>MD</t>
        </is>
      </c>
      <c r="U54" s="22" t="inlineStr">
        <is>
          <t>212182608</t>
        </is>
      </c>
      <c r="V54" s="22" t="inlineStr">
        <is>
          <t>FTMTDMBR29C7</t>
        </is>
      </c>
      <c r="W54" s="22" t="inlineStr">
        <is>
          <t>BALTIMORE</t>
        </is>
      </c>
      <c r="X54" s="22" t="inlineStr">
        <is>
          <t>MD</t>
        </is>
      </c>
      <c r="Y54" s="22" t="inlineStr">
        <is>
          <t>CSE</t>
        </is>
      </c>
      <c r="Z54" s="22" t="inlineStr">
        <is>
          <t>CCF</t>
        </is>
      </c>
      <c r="AA54" s="23" t="inlineStr">
        <is>
          <t>Information Technology Researc, Comm &amp; Information Foundations</t>
        </is>
      </c>
      <c r="AB54" s="22" t="inlineStr">
        <is>
          <t>Machine Learning Theory, CAREER-Faculty Erly Career Dev, WOMEN, MINORITY, DISABLED, NEC, CLB-Career Life Balance</t>
        </is>
      </c>
      <c r="AC54" s="22" t="inlineStr">
        <is>
          <t>164000, 779700</t>
        </is>
      </c>
      <c r="AD54" s="22" t="inlineStr">
        <is>
          <t>079Z, 1045, 9102, CL10</t>
        </is>
      </c>
      <c r="AE54" s="22" t="inlineStr">
        <is>
          <t>47.070</t>
        </is>
      </c>
      <c r="AF54" s="22" t="inlineStr">
        <is>
          <t>1</t>
        </is>
      </c>
      <c r="AG54" s="22" t="inlineStr">
        <is>
          <t>01/02/2024</t>
        </is>
      </c>
      <c r="AH54" s="22" t="inlineStr">
        <is>
          <t>08/24/2025</t>
        </is>
      </c>
      <c r="AI54" s="23" t="inlineStr">
        <is>
          <t>The description of physical theories in terms of their symmetries –and the transformation rules of coordinate freedom– played a fundamental role in important developments in physics, including the discovery of general relativity. In modern machine learning, symmetries are key to the design of deep learning architectures: From the translation symmetry of convolutional neural networks; to the permutation symmetry of graph neural networks; to transformers, which are, in principle, permutation equivariant. This project, inspired by physics principles, develops new mathematical and computational techniques to further exploit symmetries and differential geometry in the design of machine learning models. In particular, it will focus on representation learning and physics emulation on point clouds and vector fields. The developed techniques will be applied to problems in cosmology and climate science in collaboration with physicists at New York University. The project involves PhD students from Johns Hopkins and high school student interns from Baltimore City public schools. It also includes activities to promote research in Latin America, and community-building activities for women in math and engineering.
The project's first aim is to improve representation learning techniques that embed data such as text or images in a latent space in a self-supervised fashion. Based on recent work that introduced an algebraic structure in the embedding space through approximate group equivariance, the developed methods will enable users to translate interpretable modifications to the input data into linear transformations in the embedding space. This will refine the usability of the learned embeddings by providing a causal structure to the learned representations. We achieve this implicitly, using invariant theory, and explicitly, by learning a special (disentangled) coordinate system with differential geometry techniques. The project's second aim is to develop coordinate-free emulation methods for cosmology and climate science. One approach is to implement algorithms for point clouds that are invariant with respect to permutations and orthogonal (or Lorentz) transformations, on which n-body simulations can be built. In another approach, machine learning methods are built for vector and tensor fields, based on geometric principles from modern classical physics, discretized onto image grids. Success in these projects will lead to more accurate emulation with fewer expensive full-resolution simulations for the training sets.
This award reflects NSF's statutory mission and has been deemed worthy of support through evaluation using the Foundation's intellectual merit and broader impacts review criteria.</t>
        </is>
      </c>
      <c r="AJ54" s="23" t="inlineStr"/>
    </row>
    <row r="55" ht="18" customHeight="1">
      <c r="A55" s="25" t="inlineStr">
        <is>
          <t>2405261</t>
        </is>
      </c>
      <c r="B55" s="26" t="inlineStr">
        <is>
          <t>Characterizing the Effect of Substorms on the Equatorial Electrojet</t>
        </is>
      </c>
      <c r="C55" s="25" t="inlineStr">
        <is>
          <t>Continuing Grant</t>
        </is>
      </c>
      <c r="D55" s="25" t="inlineStr">
        <is>
          <t>true</t>
        </is>
      </c>
      <c r="E55" s="25" t="inlineStr">
        <is>
          <t>06/07/2024</t>
        </is>
      </c>
      <c r="F55" s="25" t="inlineStr">
        <is>
          <t>06/15/2024</t>
        </is>
      </c>
      <c r="G55" s="25" t="inlineStr">
        <is>
          <t>05/31/2027</t>
        </is>
      </c>
      <c r="H55" s="25" t="inlineStr">
        <is>
          <t>2024</t>
        </is>
      </c>
      <c r="I55" s="27" t="n">
        <v>422314</v>
      </c>
      <c r="J55" s="27" t="n">
        <v>422314</v>
      </c>
      <c r="K55" s="25" t="inlineStr">
        <is>
          <t>Juan</t>
        </is>
      </c>
      <c r="L55" s="25" t="inlineStr">
        <is>
          <t>Rodriguez-Zuluaga</t>
        </is>
      </c>
      <c r="M55" s="25" t="inlineStr">
        <is>
          <t>juan.rodriguez.zuluaga@jhuapl.edu</t>
        </is>
      </c>
      <c r="N55" s="25" t="inlineStr">
        <is>
          <t>Ying Zou ying.zou@jhuapl.edu</t>
        </is>
      </c>
      <c r="O55" s="25" t="inlineStr">
        <is>
          <t>Juan Rodriguez-Zuluaga</t>
        </is>
      </c>
      <c r="P55" s="25" t="inlineStr">
        <is>
          <t>Shikha Raizada</t>
        </is>
      </c>
      <c r="Q55" s="25" t="inlineStr">
        <is>
          <t>sraizada@nsf.gov</t>
        </is>
      </c>
      <c r="R55" s="25" t="inlineStr">
        <is>
          <t>THE JOHNS HOPKINS UNIVERSITY</t>
        </is>
      </c>
      <c r="S55" s="25" t="inlineStr">
        <is>
          <t>BALTIMORE</t>
        </is>
      </c>
      <c r="T55" s="25" t="inlineStr">
        <is>
          <t>MD</t>
        </is>
      </c>
      <c r="U55" s="25" t="inlineStr">
        <is>
          <t>212182608</t>
        </is>
      </c>
      <c r="V55" s="25" t="inlineStr">
        <is>
          <t>FTMTDMBR29C7</t>
        </is>
      </c>
      <c r="W55" s="25" t="inlineStr">
        <is>
          <t>Laurel</t>
        </is>
      </c>
      <c r="X55" s="25" t="inlineStr">
        <is>
          <t>MD</t>
        </is>
      </c>
      <c r="Y55" s="25" t="inlineStr">
        <is>
          <t>GEO</t>
        </is>
      </c>
      <c r="Z55" s="25" t="inlineStr">
        <is>
          <t>AGS</t>
        </is>
      </c>
      <c r="AA55" s="26" t="inlineStr">
        <is>
          <t>AERONOMY</t>
        </is>
      </c>
      <c r="AB55" s="25" t="inlineStr"/>
      <c r="AC55" s="25" t="inlineStr">
        <is>
          <t>152100</t>
        </is>
      </c>
      <c r="AD55" s="25" t="inlineStr"/>
      <c r="AE55" s="25" t="inlineStr">
        <is>
          <t>47.050</t>
        </is>
      </c>
      <c r="AF55" s="25" t="inlineStr">
        <is>
          <t>1</t>
        </is>
      </c>
      <c r="AG55" s="25" t="inlineStr">
        <is>
          <t>06/07/2024</t>
        </is>
      </c>
      <c r="AH55" s="25" t="inlineStr">
        <is>
          <t>08/14/2025</t>
        </is>
      </c>
      <c r="AI55" s="26" t="inlineStr">
        <is>
          <t>The equatorial electrojet (EEJ), an intensified electric current flowing eastward in the ionosphere during daytime hours. The work will investigate whether the EEJ weakens or strengthens during substorms. Successful completion of this project will not only resolve this controversy but will also significantly improve our overall understanding of the global current circuit. Understanding how the upper atmosphere at the auroral region couples with that at low latitudes is a crucial step for ensuring space weather awareness and mitigating the harmful effects of geomagnetic perturbations on technology, such as power grids, satellites, and communications.
The investigators will address the questions related to the spatiotemporal characteristics of the EEJ and the interplanetary magnetic field (IMF) conditions during substorms. These are: (i.) How does the EEJ response to substorms vary with longitude, local time, season, and solar flux? (ii.) How do substorm duration, intensity, onset time, and IMF conditions affect the EEJ response? The methodology hinges on observational data and robust statistical analysis, leveraging NSF-supported projects, the SuperMAG network, and the Jicamarca Radio Observatory (JRO). Based on four well-known substorm lists, the research team intends to examine events during geomagnetic quiet periods and quasi-steady IMF conditions. These stringent criteria allow them to isolate the sole substorm effect and exclude unconnected factors like IMF variations known to impact the EEJ. The resulting magnetic field perturbations will be assessed using a well-established approach based on a pair of magnetometers, one positioned within ±3° of the dip equator and the other at an offset location (6°-10°). They will assess the related electric field variations via vertical ion drift measurements from the incoherent and coherent scatter radars at the JRO. The success of our proposal is sustained by the wealth of data and the expertise of the team. The investigation will provide new insights into the influence of EEJ response to substorms, thus providing new perspectives on how the electric fields penetrate from high to low latitudes, improving their understanding of the magnetosphere-ionosphere current system, and supplying essential parameters for future simulations.
This award reflects NSF's statutory mission and has been deemed worthy of support through evaluation using the Foundation's intellectual merit and broader impacts review criteria.</t>
        </is>
      </c>
      <c r="AJ55" s="26" t="inlineStr"/>
    </row>
    <row r="56" ht="18" customHeight="1">
      <c r="A56" s="22" t="inlineStr">
        <is>
          <t>2401013</t>
        </is>
      </c>
      <c r="B56" s="23" t="inlineStr">
        <is>
          <t>Collaborative Research: Coordinated LES modeling and wind/water tunnel experiments for elucidating wind/wave effects on floating wind turbine wakes and farm performance.</t>
        </is>
      </c>
      <c r="C56" s="22" t="inlineStr">
        <is>
          <t>Standard Grant</t>
        </is>
      </c>
      <c r="D56" s="22" t="inlineStr">
        <is>
          <t>true</t>
        </is>
      </c>
      <c r="E56" s="22" t="inlineStr">
        <is>
          <t>06/12/2024</t>
        </is>
      </c>
      <c r="F56" s="22" t="inlineStr">
        <is>
          <t>06/01/2024</t>
        </is>
      </c>
      <c r="G56" s="22" t="inlineStr">
        <is>
          <t>05/31/2027</t>
        </is>
      </c>
      <c r="H56" s="22" t="inlineStr">
        <is>
          <t>2024</t>
        </is>
      </c>
      <c r="I56" s="24" t="n">
        <v>399968</v>
      </c>
      <c r="J56" s="24" t="n">
        <v>399968</v>
      </c>
      <c r="K56" s="22" t="inlineStr">
        <is>
          <t>Charles</t>
        </is>
      </c>
      <c r="L56" s="22" t="inlineStr">
        <is>
          <t>Meneveau</t>
        </is>
      </c>
      <c r="M56" s="22" t="inlineStr">
        <is>
          <t>meneveau@jhu.edu</t>
        </is>
      </c>
      <c r="N56" s="22" t="inlineStr">
        <is>
          <t>Dennice F Gayme dennice@jhu.edu</t>
        </is>
      </c>
      <c r="O56" s="22" t="inlineStr">
        <is>
          <t>Charles V Meneveau</t>
        </is>
      </c>
      <c r="P56" s="22" t="inlineStr">
        <is>
          <t>Ron Joslin</t>
        </is>
      </c>
      <c r="Q56" s="22" t="inlineStr">
        <is>
          <t>rjoslin@nsf.gov</t>
        </is>
      </c>
      <c r="R56" s="22" t="inlineStr">
        <is>
          <t>THE JOHNS HOPKINS UNIVERSITY</t>
        </is>
      </c>
      <c r="S56" s="22" t="inlineStr">
        <is>
          <t>BALTIMORE</t>
        </is>
      </c>
      <c r="T56" s="22" t="inlineStr">
        <is>
          <t>MD</t>
        </is>
      </c>
      <c r="U56" s="22" t="inlineStr">
        <is>
          <t>212182608</t>
        </is>
      </c>
      <c r="V56" s="22" t="inlineStr">
        <is>
          <t>FTMTDMBR29C7</t>
        </is>
      </c>
      <c r="W56" s="22" t="inlineStr">
        <is>
          <t>BALTIMORE</t>
        </is>
      </c>
      <c r="X56" s="22" t="inlineStr">
        <is>
          <t>MD</t>
        </is>
      </c>
      <c r="Y56" s="22" t="inlineStr">
        <is>
          <t>ENG</t>
        </is>
      </c>
      <c r="Z56" s="22" t="inlineStr">
        <is>
          <t>CBET</t>
        </is>
      </c>
      <c r="AA56" s="23" t="inlineStr">
        <is>
          <t>FD-Fluid Dynamics</t>
        </is>
      </c>
      <c r="AB56" s="22" t="inlineStr"/>
      <c r="AC56" s="22" t="inlineStr">
        <is>
          <t>144300</t>
        </is>
      </c>
      <c r="AD56" s="22" t="inlineStr"/>
      <c r="AE56" s="22" t="inlineStr">
        <is>
          <t>47.041</t>
        </is>
      </c>
      <c r="AF56" s="22" t="inlineStr">
        <is>
          <t>1</t>
        </is>
      </c>
      <c r="AG56" s="22" t="inlineStr">
        <is>
          <t>06/12/2024</t>
        </is>
      </c>
      <c r="AH56" s="22" t="inlineStr">
        <is>
          <t>06/12/2024</t>
        </is>
      </c>
      <c r="AI56" s="23" t="inlineStr">
        <is>
          <t>The vast wind-energy potential above deep ocean waters has motivated serious consideration of floating wind farms. While promising, improvements to system reliability and lower costs are imperative for floating wind farms to begin playing a significant role in the transition to renewable energy sources. Key elements to enable both improved reliability and cost reductions include improved understanding of the complex fluid dynamical interactions between different types of ocean waves, turbulent winds in the marine atmospheric boundary layer, and multiple wind turbine wakes in floating wind farms as well as tools for their prediction. This project will develop and apply novel, accurate, and practical computational and experimental tools to probe these complex fluid dynamical interactions. It will fill knowledge and technology gaps in our ability to predict complex interactions between floating turbine wakes, prevailing winds, and wave fields. The project will help educate graduate students and include outreach activities with the Johns Hopkins Center for Educational Outreach to engage with local K-12 schools in Baltimore and the Oregon Science and Industry Museum in Portland to perform demonstrations of findings to a broader audience through their science communication program. 
The main goals of this project are to: (i) Develop improved and practically applicable surface flux parameterizations required for Large Eddy Simulations of the marine boundary layer above ocean waves. The novel computational framework uses simple non-deforming coarse meshes including a phase-resolving model with computational costs similar to traditional equilibrium wall models that cannot resolve wave phase-dependent phenomena. This approach is generally applicable to any non-breaking wavefield, from monochromatic to multi-frequency/omni-directional ocean-waves characterized by broad spectra. (ii) Improve experiment scaling concepts to better adapt laboratory-scale experiments to accurately reproduce relevant physics of field-scale floating wind farms and to generate pertinent experimental datasets to compare with models. Scaling is based on several newly defined dimensionless ratios involving turbine/platform inertia and flow-dependent parameters. Scaled laboratory experiments will simultaneously capture the turbulent wind velocity field, wave kinematics, and model wind turbine motion and generated power. (iii) Generate high quality experimental datasets under controlled conditions in wind-tunnel/wave tank laboratory experiments to test and validate the new LES wall modeling approaches under conditions of increasing complexity, elucidate conditions under which wind-wave-turbine interactions can increase or decrease power production, wake recovery, and unsteady structural loading strength, and finally, apply the improved computational and laboratory modeling tools to offshore conditions based on field data obtained along the US West Coast (relevant to floating wind energy applications). The outcome will be improved characterizations of floating turbine response such as unsteady loading as function of various wind and sea-states.  The project was funded by the NSF ENG Fluid Dynamics program and the DoE/EERE Wind Energy Technology Office.
This award reflects NSF's statutory mission and has been deemed worthy of support through evaluation using the Foundation's intellectual merit and broader impacts review criteria.</t>
        </is>
      </c>
      <c r="AJ56" s="23" t="inlineStr"/>
    </row>
    <row r="57" ht="18" customHeight="1">
      <c r="A57" s="25" t="inlineStr">
        <is>
          <t>2350351</t>
        </is>
      </c>
      <c r="B57" s="26" t="inlineStr">
        <is>
          <t>Unique continuation and the regularity of elliptic PDEs and generalized minimal submanifolds</t>
        </is>
      </c>
      <c r="C57" s="25" t="inlineStr">
        <is>
          <t>Standard Grant</t>
        </is>
      </c>
      <c r="D57" s="25" t="inlineStr">
        <is>
          <t>true</t>
        </is>
      </c>
      <c r="E57" s="25" t="inlineStr">
        <is>
          <t>03/27/2024</t>
        </is>
      </c>
      <c r="F57" s="25" t="inlineStr">
        <is>
          <t>06/01/2024</t>
        </is>
      </c>
      <c r="G57" s="25" t="inlineStr">
        <is>
          <t>05/31/2027</t>
        </is>
      </c>
      <c r="H57" s="25" t="inlineStr">
        <is>
          <t>2024</t>
        </is>
      </c>
      <c r="I57" s="27" t="n">
        <v>253734</v>
      </c>
      <c r="J57" s="27" t="n">
        <v>253734</v>
      </c>
      <c r="K57" s="25" t="inlineStr">
        <is>
          <t>Zihui</t>
        </is>
      </c>
      <c r="L57" s="25" t="inlineStr">
        <is>
          <t>Zhao</t>
        </is>
      </c>
      <c r="M57" s="25" t="inlineStr">
        <is>
          <t>zhaozh@jhu.edu</t>
        </is>
      </c>
      <c r="N57" s="25" t="inlineStr"/>
      <c r="O57" s="25" t="inlineStr">
        <is>
          <t>Zihui Zhao</t>
        </is>
      </c>
      <c r="P57" s="25" t="inlineStr">
        <is>
          <t>Marian Bocea</t>
        </is>
      </c>
      <c r="Q57" s="25" t="inlineStr">
        <is>
          <t>mbocea@nsf.gov</t>
        </is>
      </c>
      <c r="R57" s="25" t="inlineStr">
        <is>
          <t>THE JOHNS HOPKINS UNIVERSITY</t>
        </is>
      </c>
      <c r="S57" s="25" t="inlineStr">
        <is>
          <t>BALTIMORE</t>
        </is>
      </c>
      <c r="T57" s="25" t="inlineStr">
        <is>
          <t>MD</t>
        </is>
      </c>
      <c r="U57" s="25" t="inlineStr">
        <is>
          <t>212182608</t>
        </is>
      </c>
      <c r="V57" s="25" t="inlineStr">
        <is>
          <t>FTMTDMBR29C7</t>
        </is>
      </c>
      <c r="W57" s="25" t="inlineStr">
        <is>
          <t>Baltimore</t>
        </is>
      </c>
      <c r="X57" s="25" t="inlineStr">
        <is>
          <t>MD</t>
        </is>
      </c>
      <c r="Y57" s="25" t="inlineStr">
        <is>
          <t>MPS</t>
        </is>
      </c>
      <c r="Z57" s="25" t="inlineStr">
        <is>
          <t>DMS</t>
        </is>
      </c>
      <c r="AA57" s="26" t="inlineStr">
        <is>
          <t>GEOMETRIC ANALYSIS, ANALYSIS PROGRAM</t>
        </is>
      </c>
      <c r="AB57" s="25" t="inlineStr">
        <is>
          <t>ITALY, GERMANY (F.R.G.), UNITED KINGDOM, SWITZERLAND</t>
        </is>
      </c>
      <c r="AC57" s="25" t="inlineStr">
        <is>
          <t>126500, 128100</t>
        </is>
      </c>
      <c r="AD57" s="25" t="inlineStr">
        <is>
          <t>5920, 5936, 5946, 5950</t>
        </is>
      </c>
      <c r="AE57" s="25" t="inlineStr">
        <is>
          <t>47.049</t>
        </is>
      </c>
      <c r="AF57" s="25" t="inlineStr">
        <is>
          <t>1</t>
        </is>
      </c>
      <c r="AG57" s="25" t="inlineStr">
        <is>
          <t>03/27/2024</t>
        </is>
      </c>
      <c r="AH57" s="25" t="inlineStr">
        <is>
          <t>03/27/2024</t>
        </is>
      </c>
      <c r="AI57" s="26" t="inlineStr">
        <is>
          <t>This award supports research on the regularity of solutions to elliptic partial differential equations and regularity of generalized minimal submanifolds. Elliptic differential equations govern the equilibrium configurations of various physical phenomena, for instance, those arising from minimization problems for natural energy functionals. Examples include the shape of free-hanging bridges, the shape of soap bubbles, and the sound of drums. Elliptic differential equations are also used to quantify the degree to which physical objects are bent or distorted, with far-reaching implications and applications in geometry and topology. The proposed research focuses on the regularity of solutions to such equations. Questions to be addressed include the following: Do non-smooth points (singularities) exist? How large can the set of singularities be? What is the behavior of the solution near a singularity? Is it possible to perturb the underlying environment in order to eliminate the singularity? The project will also provide opportunities for the professional development of graduate students, both via individual mentoring and via the organization of a directed learning seminar on geometric analysis and geometric measure theory.
The mathematical objectives of the project are twofold. First, the principal investigator will study unique continuation for solutions to elliptic partial differential equations, with a focus on quantitative estimates on the size and structure of the singular set of these solutions. A second topic for consideration is the regularity theory for generalized minimal submanifolds (a generalized notion of smooth submanifolds which arise as critical points for the area functional under local deformations). In particular, the principal investigator will study branch singular points in the interior as well as at the boundary of a generalized minimal submanifold, under an area-minimizing or stability assumption. Research on the latter topic, which can be viewed as a non-linear analogue of quantitative unique continuation for elliptic equations, requires the integration of ideas from geometric measure theory, partial differential equations and geometric analysis.
This award reflects NSF's statutory mission and has been deemed worthy of support through evaluation using the Foundation's intellectual merit and broader impacts review criteria.</t>
        </is>
      </c>
      <c r="AJ57" s="26" t="inlineStr"/>
    </row>
    <row r="58" ht="18" customHeight="1">
      <c r="A58" s="22" t="inlineStr">
        <is>
          <t>2431072</t>
        </is>
      </c>
      <c r="B58" s="23" t="inlineStr">
        <is>
          <t>Cosmic Collisions, Relativistic Blasts, and their Remnants in the Era of Multi-Messenger Astronomy</t>
        </is>
      </c>
      <c r="C58" s="22" t="inlineStr">
        <is>
          <t>Standard Grant</t>
        </is>
      </c>
      <c r="D58" s="22" t="inlineStr">
        <is>
          <t>true</t>
        </is>
      </c>
      <c r="E58" s="22" t="inlineStr">
        <is>
          <t>05/13/2024</t>
        </is>
      </c>
      <c r="F58" s="22" t="inlineStr">
        <is>
          <t>06/01/2024</t>
        </is>
      </c>
      <c r="G58" s="22" t="inlineStr">
        <is>
          <t>08/31/2026</t>
        </is>
      </c>
      <c r="H58" s="22" t="inlineStr">
        <is>
          <t>2024</t>
        </is>
      </c>
      <c r="I58" s="24" t="n">
        <v>431250</v>
      </c>
      <c r="J58" s="24" t="n">
        <v>431250</v>
      </c>
      <c r="K58" s="22" t="inlineStr">
        <is>
          <t>Alessandra</t>
        </is>
      </c>
      <c r="L58" s="22" t="inlineStr">
        <is>
          <t>Corsi</t>
        </is>
      </c>
      <c r="M58" s="22" t="inlineStr">
        <is>
          <t>acorsi2@jh.edu</t>
        </is>
      </c>
      <c r="N58" s="22" t="inlineStr"/>
      <c r="O58" s="22" t="inlineStr">
        <is>
          <t>Alessandra Corsi</t>
        </is>
      </c>
      <c r="P58" s="22" t="inlineStr">
        <is>
          <t>Gioia Rau</t>
        </is>
      </c>
      <c r="Q58" s="22" t="inlineStr">
        <is>
          <t>grau@nsf.gov</t>
        </is>
      </c>
      <c r="R58" s="22" t="inlineStr">
        <is>
          <t>THE JOHNS HOPKINS UNIVERSITY</t>
        </is>
      </c>
      <c r="S58" s="22" t="inlineStr">
        <is>
          <t>BALTIMORE</t>
        </is>
      </c>
      <c r="T58" s="22" t="inlineStr">
        <is>
          <t>MD</t>
        </is>
      </c>
      <c r="U58" s="22" t="inlineStr">
        <is>
          <t>212182608</t>
        </is>
      </c>
      <c r="V58" s="22" t="inlineStr">
        <is>
          <t>FTMTDMBR29C7</t>
        </is>
      </c>
      <c r="W58" s="22" t="inlineStr">
        <is>
          <t>BALTIMORE</t>
        </is>
      </c>
      <c r="X58" s="22" t="inlineStr">
        <is>
          <t>MD</t>
        </is>
      </c>
      <c r="Y58" s="22" t="inlineStr">
        <is>
          <t>MPS</t>
        </is>
      </c>
      <c r="Z58" s="22" t="inlineStr">
        <is>
          <t>AST</t>
        </is>
      </c>
      <c r="AA58" s="23" t="inlineStr">
        <is>
          <t>STELLAR ASTRONOMY &amp; ASTROPHYSC, WoU-Windows on the Universe: T</t>
        </is>
      </c>
      <c r="AB58" s="22" t="inlineStr">
        <is>
          <t>THEORETICAL &amp; COMPUTATIONAL ASTROPHYSICS, OBSERVATIONAL ASTRONOMY, Windows on the Universe (WoU)</t>
        </is>
      </c>
      <c r="AC58" s="22" t="inlineStr">
        <is>
          <t>121500, 107Y00</t>
        </is>
      </c>
      <c r="AD58" s="22" t="inlineStr">
        <is>
          <t>1206, 1207, 069Z</t>
        </is>
      </c>
      <c r="AE58" s="22" t="inlineStr">
        <is>
          <t>47.049</t>
        </is>
      </c>
      <c r="AF58" s="22" t="inlineStr">
        <is>
          <t>1</t>
        </is>
      </c>
      <c r="AG58" s="22" t="inlineStr">
        <is>
          <t>05/13/2024</t>
        </is>
      </c>
      <c r="AH58" s="22" t="inlineStr">
        <is>
          <t>05/13/2024</t>
        </is>
      </c>
      <c r="AI58" s="23" t="inlineStr">
        <is>
          <t>GW170817 is the name given by astronomers to the merger of two neutron stars witnessed through its gravitational wave siren, an associated gamma-ray burst, and its glow at all wavelengths of light.  This discovery marked the beginning of a golden age in time-domain multi-messenger astronomy. A research team at Texas Tech University will use radio observations to study the physics of multi-messenger transients. While this group helps shape the path forward for multi-messenger astronomy, it will also undertake educational and outreach initiatives aimed at building the next generation of scientists. These will include training students in computing and data analysis through the Radio Astronomy Data Imaging and Analysis Lab (RADIAL), a partnership between the National Radio Astronomy Observatory and fourteen minority-serving institutions of higher education and sponsoring the yearly public Bucy Distinguished Lecture to further encourage participation of the general public and local minorities in STEM. 
This project has three main goals: (i) Conducting radio follow-up observations of neutron star - neutron star and neutron star - black hole systems discovered by ground-based gravitational wave detectors to constrain the physics of their ejecta and the nature of their remnants; (ii) Shedding light on the the similarities and differences between two types of stellar explosions: gamma-ray bursts and stripped-envelope core-collapse supernovae; (iii) Exploring future multi-messenger observing scenarios with the next generation Very Large Array radio telescope and ground-based gravitational-wave detectors. Mergers of neutron stars in binary systems observed through multiple messengers offer a unique opportunity to answer key open questions in a variety of fields, including gravitational and nuclear physics, relativistic astrophysics, and cosmology. Studying how neutron stars and black holes form and evolve, when isolated or paired in binaries, can shed light on the yet-to-be-understood diverse paths that bring massive stars toward their violent deaths, enriching the universe with its heaviest elements. Characterizing the properties of powerful blasts and ejecta from binary neutron star mergers and massive star collapses can give us invaluable information on particle acceleration mechanisms, magnetic field amplification, and the nature of the central engines powering the most relativistic cosmic jets. Unveiling the remnants of binary neutron star coalescences can constrain the equation of state of nuclear matter, providing a fundamental physics test. This award advances the goals of the Windows on the Universe Big Idea.
This award reflects NSF's statutory mission and has been deemed worthy of support through evaluation using the Foundation's intellectual merit and broader impacts review criteria.</t>
        </is>
      </c>
      <c r="AJ58" s="23" t="inlineStr"/>
    </row>
    <row r="59" ht="18" customHeight="1">
      <c r="A59" s="25" t="inlineStr">
        <is>
          <t>2342694</t>
        </is>
      </c>
      <c r="B59" s="26" t="inlineStr">
        <is>
          <t>Multi-sectoral Examination of Global Health Policies</t>
        </is>
      </c>
      <c r="C59" s="25" t="inlineStr">
        <is>
          <t>Standard Grant</t>
        </is>
      </c>
      <c r="D59" s="25" t="inlineStr">
        <is>
          <t>true</t>
        </is>
      </c>
      <c r="E59" s="25" t="inlineStr">
        <is>
          <t>05/21/2024</t>
        </is>
      </c>
      <c r="F59" s="25" t="inlineStr">
        <is>
          <t>06/01/2024</t>
        </is>
      </c>
      <c r="G59" s="25" t="inlineStr">
        <is>
          <t>05/31/2027</t>
        </is>
      </c>
      <c r="H59" s="25" t="inlineStr">
        <is>
          <t>2024</t>
        </is>
      </c>
      <c r="I59" s="27" t="n">
        <v>430252</v>
      </c>
      <c r="J59" s="27" t="n">
        <v>430252</v>
      </c>
      <c r="K59" s="25" t="inlineStr">
        <is>
          <t>Svea</t>
        </is>
      </c>
      <c r="L59" s="25" t="inlineStr">
        <is>
          <t>Closser</t>
        </is>
      </c>
      <c r="M59" s="25" t="inlineStr">
        <is>
          <t>sclosser@jhu.edu</t>
        </is>
      </c>
      <c r="N59" s="25" t="inlineStr">
        <is>
          <t>Devaki Nambiar dnambiar@georgeinstitute.org.in</t>
        </is>
      </c>
      <c r="O59" s="25" t="inlineStr">
        <is>
          <t>Svea Closser</t>
        </is>
      </c>
      <c r="P59" s="25" t="inlineStr">
        <is>
          <t>Jeffrey Mantz</t>
        </is>
      </c>
      <c r="Q59" s="25" t="inlineStr">
        <is>
          <t>jmantz@nsf.gov</t>
        </is>
      </c>
      <c r="R59" s="25" t="inlineStr">
        <is>
          <t>THE JOHNS HOPKINS UNIVERSITY</t>
        </is>
      </c>
      <c r="S59" s="25" t="inlineStr">
        <is>
          <t>BALTIMORE</t>
        </is>
      </c>
      <c r="T59" s="25" t="inlineStr">
        <is>
          <t>MD</t>
        </is>
      </c>
      <c r="U59" s="25" t="inlineStr">
        <is>
          <t>212182608</t>
        </is>
      </c>
      <c r="V59" s="25" t="inlineStr">
        <is>
          <t>FTMTDMBR29C7</t>
        </is>
      </c>
      <c r="W59" s="25" t="inlineStr">
        <is>
          <t>BALTIMORE</t>
        </is>
      </c>
      <c r="X59" s="25" t="inlineStr">
        <is>
          <t>MD</t>
        </is>
      </c>
      <c r="Y59" s="25" t="inlineStr">
        <is>
          <t>SBE</t>
        </is>
      </c>
      <c r="Z59" s="25" t="inlineStr">
        <is>
          <t>BCS</t>
        </is>
      </c>
      <c r="AA59" s="26" t="inlineStr">
        <is>
          <t>Cultural Anthropology</t>
        </is>
      </c>
      <c r="AB59" s="25" t="inlineStr">
        <is>
          <t>GRADUATE INVOLVEMENT, UNDERGRADUATE EDUCATION, CULTURAL ANTHROPOLOGY, HUMAN DIMENSIONS OF GLOBAL CHANGE</t>
        </is>
      </c>
      <c r="AC59" s="25" t="inlineStr">
        <is>
          <t>139000</t>
        </is>
      </c>
      <c r="AD59" s="25" t="inlineStr">
        <is>
          <t>9179, 9178, 1390, 9278</t>
        </is>
      </c>
      <c r="AE59" s="25" t="inlineStr">
        <is>
          <t>47.075</t>
        </is>
      </c>
      <c r="AF59" s="25" t="inlineStr">
        <is>
          <t>1</t>
        </is>
      </c>
      <c r="AG59" s="25" t="inlineStr">
        <is>
          <t>05/21/2024</t>
        </is>
      </c>
      <c r="AH59" s="25" t="inlineStr">
        <is>
          <t>05/21/2024</t>
        </is>
      </c>
      <c r="AI59" s="26" t="inlineStr">
        <is>
          <t>This collaborative project examines the multi-sectoral determinants of health in low-income communities. The research uses a multi-sectoral approach by examining the impacts of multiple sectors such as water and sanitation, nutrition, and housing on health outcomes. This multi-sectoral approach strengthens our understanding of the intersecting factors that impact health disparities across the world. Systematic scientific study across all these sectors expands the understanding of the impacts of health policy that can improve health outcomes for underserved communities globally.  The broader impacts of this project include training in anthropological science and public health methods for high school students in the Baltimore City Public Schools; undergraduate and graduate students at Johns Hopkins University; and a public health student at the sub-awardee’s institution. Research results will be made available to policymakers and will focus on the science-driven improvement of health services for the populations most in need. Findings tracing the history of multi-sectoral collaborations will also be made available via a public archive .  
The investigators specifically study global programs that involve multi-sectoral collaborations.  The research uses both qualitative and quantitative methods to investigate the impacts of the formulation, interpretation, translation, and implementation of health policies at local, national, and transnational scales. Systematic scientific study of the multiple sectors that impact health delivery and health outcomes through in-depth, on the ground research will provide data that can be used be improve large public health programs and to improve the living conditions of underserved communities globally. This research makes significant interventions in medical and biocultural anthropology, and the science of public health.
This award reflects NSF's statutory mission and has been deemed worthy of support through evaluation using the Foundation's intellectual merit and broader impacts review criteria.</t>
        </is>
      </c>
      <c r="AJ59" s="26" t="inlineStr"/>
    </row>
    <row r="60" ht="18" customHeight="1">
      <c r="A60" s="22" t="inlineStr">
        <is>
          <t>2335761</t>
        </is>
      </c>
      <c r="B60" s="23" t="inlineStr">
        <is>
          <t>Collaborative Research: Non-Linearity and Feedbacks in the Atmospheric Circulation Response to Increased Carbon Dioxide (CO2)</t>
        </is>
      </c>
      <c r="C60" s="22" t="inlineStr">
        <is>
          <t>Standard Grant</t>
        </is>
      </c>
      <c r="D60" s="22" t="inlineStr">
        <is>
          <t>true</t>
        </is>
      </c>
      <c r="E60" s="22" t="inlineStr">
        <is>
          <t>04/04/2024</t>
        </is>
      </c>
      <c r="F60" s="22" t="inlineStr">
        <is>
          <t>06/01/2024</t>
        </is>
      </c>
      <c r="G60" s="22" t="inlineStr">
        <is>
          <t>05/31/2027</t>
        </is>
      </c>
      <c r="H60" s="22" t="inlineStr">
        <is>
          <t>2024</t>
        </is>
      </c>
      <c r="I60" s="24" t="n">
        <v>601138</v>
      </c>
      <c r="J60" s="24" t="n">
        <v>601138</v>
      </c>
      <c r="K60" s="22" t="inlineStr">
        <is>
          <t>Darryn</t>
        </is>
      </c>
      <c r="L60" s="22" t="inlineStr">
        <is>
          <t>Waugh</t>
        </is>
      </c>
      <c r="M60" s="22" t="inlineStr">
        <is>
          <t>waugh@jhu.edu</t>
        </is>
      </c>
      <c r="N60" s="22" t="inlineStr"/>
      <c r="O60" s="22" t="inlineStr">
        <is>
          <t>Darryn W Waugh</t>
        </is>
      </c>
      <c r="P60" s="22" t="inlineStr">
        <is>
          <t>Eric DeWeaver</t>
        </is>
      </c>
      <c r="Q60" s="22" t="inlineStr">
        <is>
          <t>edeweave@nsf.gov</t>
        </is>
      </c>
      <c r="R60" s="22" t="inlineStr">
        <is>
          <t>THE JOHNS HOPKINS UNIVERSITY</t>
        </is>
      </c>
      <c r="S60" s="22" t="inlineStr">
        <is>
          <t>BALTIMORE</t>
        </is>
      </c>
      <c r="T60" s="22" t="inlineStr">
        <is>
          <t>MD</t>
        </is>
      </c>
      <c r="U60" s="22" t="inlineStr">
        <is>
          <t>212182608</t>
        </is>
      </c>
      <c r="V60" s="22" t="inlineStr">
        <is>
          <t>FTMTDMBR29C7</t>
        </is>
      </c>
      <c r="W60" s="22" t="inlineStr">
        <is>
          <t>BALTIMORE</t>
        </is>
      </c>
      <c r="X60" s="22" t="inlineStr">
        <is>
          <t>MD</t>
        </is>
      </c>
      <c r="Y60" s="22" t="inlineStr">
        <is>
          <t>GEO</t>
        </is>
      </c>
      <c r="Z60" s="22" t="inlineStr">
        <is>
          <t>AGS</t>
        </is>
      </c>
      <c r="AA60" s="23" t="inlineStr">
        <is>
          <t>Climate &amp; Large-Scale Dynamics</t>
        </is>
      </c>
      <c r="AB60" s="22" t="inlineStr"/>
      <c r="AC60" s="22" t="inlineStr">
        <is>
          <t>574000</t>
        </is>
      </c>
      <c r="AD60" s="22" t="inlineStr"/>
      <c r="AE60" s="22" t="inlineStr">
        <is>
          <t>47.050</t>
        </is>
      </c>
      <c r="AF60" s="22" t="inlineStr">
        <is>
          <t>1</t>
        </is>
      </c>
      <c r="AG60" s="22" t="inlineStr">
        <is>
          <t>04/04/2024</t>
        </is>
      </c>
      <c r="AH60" s="22" t="inlineStr">
        <is>
          <t>08/13/2024</t>
        </is>
      </c>
      <c r="AI60" s="23" t="inlineStr">
        <is>
          <t>Efforts to address climate change begin with the simple fact that adding carbon dioxide (CO2) to the atmosphere warms the globe.  But the consequences of greenhouse warming that matter for people are regional rather than global and involve other factors besides temperature.  One such factor is warming-induced change in atmospheric circulation, which can, for example, cause some regions to dry out while others become more flood prone. The importance of circulation change for regional climate challenges efforts to address climate impacts since the dynamical mechanisms through which warming induces circulation change are not well understood, and model simulations used to inform decision making do not show strong agreement as to how much circulation change will occur.  A further consideration is that the amount of circulation change is not necessarily proportional to the amount of global temperature increase.  Previous work by the Principal Investigators (PIs) of this project found several examples of nonlinear behavior, for instance the strength of the Northern Hemisphere Hadley Cell (the overturning cell with rising motion near the equator and subsidence over the Northern subtropics) decreases for a doubling of CO2 but increases if CO2 is further increased to a tripling.
Work under this award seeks to understand the circulation response to CO2 increase, focusing specifically on the reasons for differences in circulation change from one climate model to another and the mechanisms responsible for nonlinearity in circulation change.  One mechanism for nonlinearity is the rapid weakening of the Atlantic Meridional Overturning Circulation (AMOC), which occurs at a particular level of CO2 increase and causes circulation change by creating a patch of colder sea surface temperatures in the North Atlantic.  The rapid weakening of the AMOC happens at different CO2 levels in different climate models and is thus a source of inter-model spread in circulation change.  Another mechanism is CO2-induced change in stratospheric ozone, as CO2 increase affects the amount and latitudinal distribution of stratospheric ozone, which in turn can influence the jet stream because ozone causes radiative heating which produces upper-level temperature contrasts.  The CO2-ozone feedback, in which CO2 influences temperature which in turn affects ozone causing further temperature change, has only recently been recognized as a contributing factor to climate and circulation change.  The research is conducted through analysis of model simulations available through several Model Intercomparison Projects, along with new simulations generated using the Community Earth System Model (CESM) and the climate model of the Goddard Institute for Space Studies (GISS Model E2.2).
The work is of societal as well as scientific interest given the influence of circulation change on regional climate change, as noted above.  A related consideration is that assessments of regional climate change often assume that regional climate changes will be proportional to global temperature increase, thus research on the nonlinearity of circulation change has direct bearing on regional climate change assessments.  The PIs are well positioned to disseminate their results to the climate impacts community as both have been authors on previous assessments including reports of the Intergovernmental Panel on Climate Change and the World Meteorological Organization.  In addition, the PIs participate in outreach programs within their communities including the Baltimore Ingenuity Project (IP), and the work provides support and training to two graduate students.
This award reflects NSF's statutory mission and has been deemed worthy of support through evaluation using the Foundation's intellectual merit and broader impacts review criteria.</t>
        </is>
      </c>
      <c r="AJ60" s="23" t="inlineStr"/>
    </row>
    <row r="61" ht="18" customHeight="1">
      <c r="A61" s="25" t="inlineStr">
        <is>
          <t>2346706</t>
        </is>
      </c>
      <c r="B61" s="26" t="inlineStr">
        <is>
          <t>DNA-Protein Cross-link Formation by Chimeric Bis-electrophiles</t>
        </is>
      </c>
      <c r="C61" s="25" t="inlineStr">
        <is>
          <t>Standard Grant</t>
        </is>
      </c>
      <c r="D61" s="25" t="inlineStr">
        <is>
          <t>true</t>
        </is>
      </c>
      <c r="E61" s="25" t="inlineStr">
        <is>
          <t>03/21/2024</t>
        </is>
      </c>
      <c r="F61" s="25" t="inlineStr">
        <is>
          <t>05/01/2024</t>
        </is>
      </c>
      <c r="G61" s="25" t="inlineStr">
        <is>
          <t>04/30/2027</t>
        </is>
      </c>
      <c r="H61" s="25" t="inlineStr">
        <is>
          <t>2024</t>
        </is>
      </c>
      <c r="I61" s="27" t="n">
        <v>585427</v>
      </c>
      <c r="J61" s="27" t="n">
        <v>555000</v>
      </c>
      <c r="K61" s="25" t="inlineStr">
        <is>
          <t>Marc</t>
        </is>
      </c>
      <c r="L61" s="25" t="inlineStr">
        <is>
          <t>Greenberg</t>
        </is>
      </c>
      <c r="M61" s="25" t="inlineStr">
        <is>
          <t>mgreenberg@jhu.edu</t>
        </is>
      </c>
      <c r="N61" s="25" t="inlineStr"/>
      <c r="O61" s="25" t="inlineStr">
        <is>
          <t>Marc M Greenberg</t>
        </is>
      </c>
      <c r="P61" s="25" t="inlineStr">
        <is>
          <t>Catalina Achim</t>
        </is>
      </c>
      <c r="Q61" s="25" t="inlineStr">
        <is>
          <t>cachim@nsf.gov</t>
        </is>
      </c>
      <c r="R61" s="25" t="inlineStr">
        <is>
          <t>THE JOHNS HOPKINS UNIVERSITY</t>
        </is>
      </c>
      <c r="S61" s="25" t="inlineStr">
        <is>
          <t>BALTIMORE</t>
        </is>
      </c>
      <c r="T61" s="25" t="inlineStr">
        <is>
          <t>MD</t>
        </is>
      </c>
      <c r="U61" s="25" t="inlineStr">
        <is>
          <t>212182608</t>
        </is>
      </c>
      <c r="V61" s="25" t="inlineStr">
        <is>
          <t>FTMTDMBR29C7</t>
        </is>
      </c>
      <c r="W61" s="25" t="inlineStr">
        <is>
          <t>BALTIMORE</t>
        </is>
      </c>
      <c r="X61" s="25" t="inlineStr">
        <is>
          <t>MD</t>
        </is>
      </c>
      <c r="Y61" s="25" t="inlineStr">
        <is>
          <t>MPS</t>
        </is>
      </c>
      <c r="Z61" s="25" t="inlineStr">
        <is>
          <t>CHE</t>
        </is>
      </c>
      <c r="AA61" s="26" t="inlineStr">
        <is>
          <t>Chemistry of Life Processes</t>
        </is>
      </c>
      <c r="AB61" s="25" t="inlineStr"/>
      <c r="AC61" s="25" t="inlineStr">
        <is>
          <t>688300</t>
        </is>
      </c>
      <c r="AD61" s="25" t="inlineStr"/>
      <c r="AE61" s="25" t="inlineStr">
        <is>
          <t>47.049</t>
        </is>
      </c>
      <c r="AF61" s="25" t="inlineStr">
        <is>
          <t>1</t>
        </is>
      </c>
      <c r="AG61" s="25" t="inlineStr">
        <is>
          <t>03/21/2024</t>
        </is>
      </c>
      <c r="AH61" s="25" t="inlineStr">
        <is>
          <t>08/15/2024</t>
        </is>
      </c>
      <c r="AI61" s="26" t="inlineStr">
        <is>
          <t>With the support of the Chemistry of Life Processes (CLP) program in the Division of Chemistry, Professor Marc Greenberg of Johns Hopkins University and his research team are studying the development of molecules for the selective formation of DNA-protein crosslinks (DPCs). DPCs are a cytotoxic form of DNA damage that potently block replication and transcription. Despite their biological significance, DPCs are often overshadowed by other forms of damage, such as DNA-DNA interstrand crosslinks (ICLs). The development of these molecules could be useful for studying DPC formation in the test tube, in cells and possibly even organisms. Selective DPC formation would enable scientists to study how such cytotoxic lesions are repaired and determine the consequences of their formation on processes involved in genetic expression. These molecules could be especially useful in the complex environment of cells, where the formation of mixtures makes it particularly difficult to elucidate the consequences of individual chemical products. This project will provide students with broad training in several research areas, including synthetic organic chemistry, biochemistry, and cell biology. The students that obtain training while contributing to this project, will include those from groups that have historically been underrepresented in the sciences.
Under this award, the Greenberg laboratory will focus synthetic efforts on bis-electrophiles that take advantage of the high reactivity of nitrogen mustards to rapidly alkylate DNA. However, one of the highly reactive chloroethyl groups will be replaced with a more selective electrophile that is designed to preferentially react with the side-chain amino group of lysines. In this way, the formation of monoalkylation products that account for the majority of nitrogen mustard reactivity will be disfavored. Furthermore, the selectivity of the electrophile to form DPCs over ICLs will be determined. Selective DPC formation will be tested in nucleosome core particles, as well as in cells. Preferential DPC formation compared to ICLs will be probed using various cell lines that are deficient in repair of one lesion family. For instance, it is hypothesized that cells lacking SPRTN, a protease that initiates DPC repair, will be hypersensitive to the molecules. Selective DPC formation in cells that lack SPRTN would enable the exploration of alternative DPC repair systems. Studies with these bis-electrophiles may provide the foundation for the discovery of therapeutic agents that act by forming DPCs in targeted cellular loci.
This award reflects NSF's statutory mission and has been deemed worthy of support through evaluation using the Foundation's intellectual merit and broader impacts review criteria.</t>
        </is>
      </c>
      <c r="AJ61" s="26" t="inlineStr"/>
    </row>
    <row r="62" ht="18" customHeight="1">
      <c r="A62" s="22" t="inlineStr">
        <is>
          <t>2428805</t>
        </is>
      </c>
      <c r="B62" s="23" t="inlineStr">
        <is>
          <t>RAPID: Assessing Bridge Collapse Risk - Learning from the Francis Scott Key Bridge Collapse, Baltimore, Maryland, March 2024</t>
        </is>
      </c>
      <c r="C62" s="22" t="inlineStr">
        <is>
          <t>Standard Grant</t>
        </is>
      </c>
      <c r="D62" s="22" t="inlineStr">
        <is>
          <t>false</t>
        </is>
      </c>
      <c r="E62" s="22" t="inlineStr">
        <is>
          <t>05/08/2024</t>
        </is>
      </c>
      <c r="F62" s="22" t="inlineStr">
        <is>
          <t>05/01/2024</t>
        </is>
      </c>
      <c r="G62" s="22" t="inlineStr">
        <is>
          <t>08/31/2025</t>
        </is>
      </c>
      <c r="H62" s="22" t="inlineStr">
        <is>
          <t>2024</t>
        </is>
      </c>
      <c r="I62" s="24" t="n">
        <v>200000</v>
      </c>
      <c r="J62" s="24" t="n">
        <v>200000</v>
      </c>
      <c r="K62" s="22" t="inlineStr">
        <is>
          <t>Michael</t>
        </is>
      </c>
      <c r="L62" s="22" t="inlineStr">
        <is>
          <t>Shields</t>
        </is>
      </c>
      <c r="M62" s="22" t="inlineStr">
        <is>
          <t>michael.shields@jhu.edu</t>
        </is>
      </c>
      <c r="N62" s="22" t="inlineStr">
        <is>
          <t>Benjamin W Schafer schafer@jhu.edu, Rachel H Sangree sangree@jhu.edu</t>
        </is>
      </c>
      <c r="O62" s="22" t="inlineStr">
        <is>
          <t>Michael D Shields</t>
        </is>
      </c>
      <c r="P62" s="22" t="inlineStr">
        <is>
          <t>Lesley Sneed</t>
        </is>
      </c>
      <c r="Q62" s="22" t="inlineStr">
        <is>
          <t>lsneed@nsf.gov</t>
        </is>
      </c>
      <c r="R62" s="22" t="inlineStr">
        <is>
          <t>THE JOHNS HOPKINS UNIVERSITY</t>
        </is>
      </c>
      <c r="S62" s="22" t="inlineStr">
        <is>
          <t>BALTIMORE</t>
        </is>
      </c>
      <c r="T62" s="22" t="inlineStr">
        <is>
          <t>MD</t>
        </is>
      </c>
      <c r="U62" s="22" t="inlineStr">
        <is>
          <t>212182608</t>
        </is>
      </c>
      <c r="V62" s="22" t="inlineStr">
        <is>
          <t>FTMTDMBR29C7</t>
        </is>
      </c>
      <c r="W62" s="22" t="inlineStr">
        <is>
          <t>BALTIMORE</t>
        </is>
      </c>
      <c r="X62" s="22" t="inlineStr">
        <is>
          <t>MD</t>
        </is>
      </c>
      <c r="Y62" s="22" t="inlineStr">
        <is>
          <t>ENG</t>
        </is>
      </c>
      <c r="Z62" s="22" t="inlineStr">
        <is>
          <t>CMMI</t>
        </is>
      </c>
      <c r="AA62" s="23" t="inlineStr">
        <is>
          <t>ECI-Engineering for Civil Infr</t>
        </is>
      </c>
      <c r="AB62" s="22" t="inlineStr">
        <is>
          <t>CIVIL INFRASTRUCTURE, FOUNDATION ENGINEERING, STRUCTURAL SYSTEMS, Haz mitigation of structural sys, CIS BASE RESEARCH, CYBERINFRASTRUCTURE, RAPID</t>
        </is>
      </c>
      <c r="AC62" s="22" t="inlineStr">
        <is>
          <t>073Y00</t>
        </is>
      </c>
      <c r="AD62" s="22" t="inlineStr">
        <is>
          <t>036E, 038E, 039E, 040E, 1057, 7231, 7914</t>
        </is>
      </c>
      <c r="AE62" s="22" t="inlineStr">
        <is>
          <t>47.041</t>
        </is>
      </c>
      <c r="AF62" s="22" t="inlineStr">
        <is>
          <t>1</t>
        </is>
      </c>
      <c r="AG62" s="22" t="inlineStr">
        <is>
          <t>05/08/2024</t>
        </is>
      </c>
      <c r="AH62" s="22" t="inlineStr">
        <is>
          <t>05/08/2024</t>
        </is>
      </c>
      <c r="AI62" s="23" t="inlineStr">
        <is>
          <t>The collapse of the Francis Scott Key Bridge in Baltimore, Maryland, on March 26, 2024, caused by a collision with an aberrant cargo ship, raises several urgent questions regarding the safety and protection of critical bridges in the United States. To assure the safety and protection of American bridges, the risk posed by the tremendous increase in shipping volume and ship sizes must be assessed. With the need to make decisions quickly to rebuild the Key Bridge and invest in retrofits and protections to existing critical bridges, there are billions of dollars in infrastructure investment at stake. These urgent investment decisions, to be considered by agencies such as the National Transportation Safety Board and Maryland State and Federal Highway Administrations, will benefit from accurate assessment of bridge collapse risk. The impetus to make these critical investments is perishable. To meet this pressing need, this grant for Rapid Response Research (RAPID) will estimate the annual probability that a bridge collapse inducing ship collision will occur and then will compare this probability to existing standards for bridge risk analysis and design. By estimating the annual probability of occurrence, the project will aim to provide vital insight into whether existing U.S. bridge infrastructure is vulnerable to similar collisions or whether the Key Bridge disaster was, in fact, a rare event. The project further will aim to assess the evolution of collision probabilities from the 1970s, when the Key Bridge was built, to modern day to observe how risk to critical bridges has changed over the past 50 years due to increasing ship traffic and the huge growth in vessel size, with a particular focus on estimating future risk to enable informed decision-making processes in both rebuilding and retrofitting efforts. 
To estimate annual collision probabilities over time, the project will evaluate global ship Automatic Identification System (AIS) data to estimate the probability of large vessels aberrating from their course near a major U.S. bridge. These AIS data report heading, speed, destination, and status data for every ship globally in transit and provide an abundant stream of historical shipping data from which to assess aberrancy probability. Combining these aberrancy probabilities with estimates of shipping traffic in major American ports and near critical bridges will further allow the estimation of the time evolving collision probabilities for the Key Bridge and other critical bridges in the U.S. These estimates will be used to inform risk analysis for critical bridges by modeling ship collisions as a Poisson process and considering the economic impacts and potential loss of life associated with major bridge collapse. The project, therefore, will aim to answer the fundamental question of evolving bridge collapse risk in the United States to provide decision-makers with immediately actionable data as they prepare to invest in new bridges and bridge protections where needed, revise design standards and shipping practices if necessary, and reconsider risk tolerance in the wake of the Key Bridge disaster.
This award reflects NSF's statutory mission and has been deemed worthy of support through evaluation using the Foundation's intellectual merit and broader impacts review criteria.</t>
        </is>
      </c>
      <c r="AJ62" s="23" t="inlineStr">
        <is>
          <t>&lt;div class="porColContainerWBG"&gt;
&lt;div class="porContentCol"&gt;&lt;p&gt;This project aimed to investigate the ship collision risk to major U.S. bridges in the wake of the Francis Scott Key Bridge collapse. The project quantified the probability of a major vessel strike for more than 300 bridges by cross-referencing more than 10 years of shipping data tracking every vessel in U.S. waters with bridges in the National Bridge Inventory and determined that the risk for many of these bridges appears significantly higher than intended by current bridge design specifications. This investigation used a combination of advanced data-mining and analysis techniques to assess large ship traffic under major U.S. bridges along with machine learning models to predict uncertainty in ship paths and identify aberrancy. The harvested traffic data was then used within the risk assessment framework established by the American Association for State Highway and Transportation Officials (AASHTO) to estimate the collision probability for these bridges. Additional modifications that leverage abundant shipping data and modern data analysis algorithms to improve the ship collision risk assessment methodology are also being proposed as a result of this research. These risk assessments, and the improved methodology, have been widely disseminated to improve public awareness of the risks to U.S. bridges and inform bridge owners and government policy makers of the need for more detailed risk analysis for select bridges and the potential need for investments in retrofits and/or new protection systems.&amp;nbsp;&lt;/p&gt;
&lt;p&gt;The project has generated considerable broader impacts beyond the important conclusions. The project supported a substantial team that included research conducted by 10 undergraduate interns, six masters students resulting in one masters thesis and two capstone projects, two PhD students, and one postdoctoral fellow. These students gained valuable experience in data analysis, risk assessment, code development, and related research skills. The project team built extensive tools to disseminate the results that include two press releases, a website and web-based dashboard for interactive viewing of the project results, along with an open source Github repository for sharing the complete data sets and codes used for data analysis to promote reproducibility and extension of the work. This resulted in significant public interest, with the PIs making dozens of media appearances to share the results of the work and engaging industry leaders to promote updates to existing risk assessment strategies. Finally, the project features prominently in a required undergraduate course on uncertainty and risk assessment in the Dept. of Civil and Systems Engineering at Johns Hopkins University; serving as a model for risk analysis strategies applied to real world engineering problems.&amp;nbsp;&lt;/p&gt;
&lt;p&gt;&amp;nbsp;&lt;/p&gt;&lt;br&gt;
&lt;p&gt;
 Last Modified: 12/09/2025&lt;br&gt;
Modified by: Michael&amp;nbsp;D&amp;nbsp;Shields&lt;/p&gt;&lt;/div&gt;
&lt;div class="porSideCol"
&gt;&lt;div class="each-gallery"&gt;
&lt;div class="galContent" id="gallery0"&gt;
&lt;div class="photoCount" id="photoCount0"&gt;
									Images (&lt;span id="selectedPhoto0"&gt;1&lt;/span&gt; of &lt;span class="totalNumber"&gt;&lt;/span&gt;)	
								&lt;/div&gt;
&lt;div class="galControls onePhoto" id="controls0"&gt;&lt;/div&gt;
&lt;div class="galSlideshow" id="slideshow0"&gt;&lt;/div&gt;
&lt;div class="galEmbox" id="embox"&gt;
&lt;div class="image-title"&gt;&lt;/div&gt;
&lt;/div&gt;
&lt;/div&gt;
&lt;div class="galNavigation" id="navigation0"&gt;
&lt;ul class="thumbs" id="thumbs0"&gt;
&lt;li&gt;
&lt;a href="/por/images/Reports/POR/2025/2428805/2428805_10924659_1765296038209_24_09_03_Top_15_Bridges_graphic_Av7--rgov-214x142.jpg" original="/por/images/Reports/POR/2025/2428805/2428805_10924659_1765296038209_24_09_03_Top_15_Bridges_graphic_Av7--rgov-800width.jpg" title="Vessel Traffic Mega Ships"&gt;&lt;img src="/por/images/Reports/POR/2025/2428805/2428805_10924659_1765296038209_24_09_03_Top_15_Bridges_graphic_Av7--rgov-66x44.jpg" alt="Vessel Traffic Mega Ships"&gt;&lt;/a&gt;
&lt;div class="imageCaptionContainer"&gt;
&lt;div class="imageCaption"&gt;Top 15 bridges with the highest volume of mega ship traffic.&lt;/div&gt;
&lt;div class="imageCredit"&gt;Khamar Hopkins&lt;/div&gt;
&lt;div class="imagePermisssions"&gt;Copyright owner is an institution with an existing agreement allowing use by NSF&lt;/div&gt;
&lt;div class="imageSubmitted"&gt;Michael&amp;nbsp;D&amp;nbsp;Shields
&lt;div class="imageTitle"&gt;Vessel Traffic Mega Ships&lt;/div&gt;
&lt;/div&gt;
&lt;/li&gt;&lt;li&gt;
&lt;a href="/por/images/Reports/POR/2025/2428805/2428805_10924659_1765296133043_24_09_03_Top_15_Bridges_graphic_Bv5--rgov-214x142.jpg" original="/por/images/Reports/POR/2025/2428805/2428805_10924659_1765296133043_24_09_03_Top_15_Bridges_graphic_Bv5--rgov-800width.jpg" title="Vessel Traffic Large Ships"&gt;&lt;img src="/por/images/Reports/POR/2025/2428805/2428805_10924659_1765296133043_24_09_03_Top_15_Bridges_graphic_Bv5--rgov-66x44.jpg" alt="Vessel Traffic Large Ships"&gt;&lt;/a&gt;
&lt;div class="imageCaptionContainer"&gt;
&lt;div class="imageCaption"&gt;Top 15 bridges with the highest volume of large ship traffic.&lt;/div&gt;
&lt;div class="imageCredit"&gt;Khamar Hopkins&lt;/div&gt;
&lt;div class="imagePermisssions"&gt;Copyright owner is an institution with an existing agreement allowing use by NSF&lt;/div&gt;
&lt;div class="imageSubmitted"&gt;Michael&amp;nbsp;D&amp;nbsp;Shields
&lt;div class="imageTitle"&gt;Vessel Traffic Large Ships&lt;/div&gt;
&lt;/div&gt;
&lt;/li&gt;&lt;/ul&gt;
&lt;/div&gt;
&lt;/div&gt;&lt;/div&gt;
&lt;/div&gt;</t>
        </is>
      </c>
    </row>
    <row r="63" ht="18" customHeight="1">
      <c r="A63" s="25" t="inlineStr">
        <is>
          <t>2422384</t>
        </is>
      </c>
      <c r="B63" s="26" t="inlineStr">
        <is>
          <t>Conference: Materials Genome Initiative (MGI) Biennial Principal Investigator Workshop; Washington, DC; July 30-31, 2024</t>
        </is>
      </c>
      <c r="C63" s="25" t="inlineStr">
        <is>
          <t>Standard Grant</t>
        </is>
      </c>
      <c r="D63" s="25" t="inlineStr">
        <is>
          <t>false</t>
        </is>
      </c>
      <c r="E63" s="25" t="inlineStr">
        <is>
          <t>04/03/2024</t>
        </is>
      </c>
      <c r="F63" s="25" t="inlineStr">
        <is>
          <t>04/15/2024</t>
        </is>
      </c>
      <c r="G63" s="25" t="inlineStr">
        <is>
          <t>11/30/2024</t>
        </is>
      </c>
      <c r="H63" s="25" t="inlineStr">
        <is>
          <t>2024</t>
        </is>
      </c>
      <c r="I63" s="27" t="n">
        <v>150000</v>
      </c>
      <c r="J63" s="27" t="n">
        <v>150000</v>
      </c>
      <c r="K63" s="25" t="inlineStr">
        <is>
          <t>Thao</t>
        </is>
      </c>
      <c r="L63" s="25" t="inlineStr">
        <is>
          <t>Nguyen</t>
        </is>
      </c>
      <c r="M63" s="25" t="inlineStr">
        <is>
          <t>vicky.nguyen@jhu.edu</t>
        </is>
      </c>
      <c r="N63" s="25" t="inlineStr">
        <is>
          <t>David Elbert elbert@jhu.edu</t>
        </is>
      </c>
      <c r="O63" s="25" t="inlineStr">
        <is>
          <t>Thao D Nguyen</t>
        </is>
      </c>
      <c r="P63" s="25" t="inlineStr">
        <is>
          <t>John Schlueter</t>
        </is>
      </c>
      <c r="Q63" s="25" t="inlineStr">
        <is>
          <t>jschluet@nsf.gov</t>
        </is>
      </c>
      <c r="R63" s="25" t="inlineStr">
        <is>
          <t>THE JOHNS HOPKINS UNIVERSITY</t>
        </is>
      </c>
      <c r="S63" s="25" t="inlineStr">
        <is>
          <t>BALTIMORE</t>
        </is>
      </c>
      <c r="T63" s="25" t="inlineStr">
        <is>
          <t>MD</t>
        </is>
      </c>
      <c r="U63" s="25" t="inlineStr">
        <is>
          <t>212182608</t>
        </is>
      </c>
      <c r="V63" s="25" t="inlineStr">
        <is>
          <t>FTMTDMBR29C7</t>
        </is>
      </c>
      <c r="W63" s="25" t="inlineStr">
        <is>
          <t>BALTIMORE</t>
        </is>
      </c>
      <c r="X63" s="25" t="inlineStr">
        <is>
          <t>MD</t>
        </is>
      </c>
      <c r="Y63" s="25" t="inlineStr">
        <is>
          <t>MPS</t>
        </is>
      </c>
      <c r="Z63" s="25" t="inlineStr">
        <is>
          <t>DMR</t>
        </is>
      </c>
      <c r="AA63" s="26" t="inlineStr">
        <is>
          <t>Info Integration &amp; Informatics, DMREF</t>
        </is>
      </c>
      <c r="AB63" s="25" t="inlineStr">
        <is>
          <t>(MGI) Materials Genome Initiative, CONFERENCE AND WORKSHOPS, DMREF</t>
        </is>
      </c>
      <c r="AC63" s="25" t="inlineStr">
        <is>
          <t>736400, 829200</t>
        </is>
      </c>
      <c r="AD63" s="25" t="inlineStr">
        <is>
          <t>054Z, 7556, 8400</t>
        </is>
      </c>
      <c r="AE63" s="25" t="inlineStr">
        <is>
          <t>47.041, 47.049, 47.070</t>
        </is>
      </c>
      <c r="AF63" s="25" t="inlineStr">
        <is>
          <t>1</t>
        </is>
      </c>
      <c r="AG63" s="25" t="inlineStr">
        <is>
          <t>04/03/2024</t>
        </is>
      </c>
      <c r="AH63" s="25" t="inlineStr">
        <is>
          <t>04/03/2024</t>
        </is>
      </c>
      <c r="AI63" s="26" t="inlineStr">
        <is>
          <t>This award funds a workshop to bring together Materials Genome Initiative (MGI) grantees and program managers from the National Science Foundation (NSF), the Department of Energy (DoE), the Air Force Research Laboratory (AFRL), the Office of Naval Research (ONR), the US Army Combat Capabilities Development Command (DEVCOM), and the National Institute of Standards and Technology (NIST), and various other federal agencies with a stake in the MGI. The MGI was launched in 2011 to accelerate the discovery, design, development, and deployment of new materials, at a fraction of the cost, by harnessing the power of data and computational tools in concert with experiment. As NSF's response to the MGI, the Designing Materials to Revolutionize and Engineer our Future (DMREF) program seeks to foster collaborations between materials researchers with expertise in synthesis, experiment, theory, computation, and data science on highly iterative feedback loops in which experimental results directly inform theory and computation, and vice versa. This workshop brings together DMREF awardees with those supported by other federal agencies in order to discuss their challenges and successes; provide an assessment of the current status of the Initiative; and be a springboard to collaborative work leveraging rapid growth in data, data-driven AI/ML, and community-wide infrastructure development. 
A primary goal of this workshop is to assess the current status and opportunities for MGI across participating agencies. The following aims are pursued: 1) Accelerate materials research through data-driven approaches including artificial intelligence, machine learning, and natural language processing, 2) Transition fundamental research along the Materials Development Continuum, 3) Address educational and diversity issues, and 4) Promote collaboration among MGI PIs. The workshop will consist of overview talks of MGI-related activities at various federal agencies, technical presentations by the attendees, poster sessions, and breakout sessions on overarching topics. The overarching themes will be presented in a report for dissemination to the broader materials research community and the public. The program includes workgroups focused on workforce development where students and postdoctoral scholars are encouraged to attend and participate. Results from the workshop will be made available to the broader materials community and the public in the form of an electronic (PDF) Conference Proceeding booklet that will include abstracts from the posters and presentations. The workshop, which will be held in downtown Washington DC on July 30-31, 2024, follows a series of successful workshops, the latest being held in June 2022.
This award reflects NSF's statutory mission and has been deemed worthy of support through evaluation using the Foundation's intellectual merit and broader impacts review criteria.</t>
        </is>
      </c>
      <c r="AJ63" s="26" t="inlineStr">
        <is>
          <t>&lt;div class="porColContainerWBG"&gt;
&lt;div class="porContentCol"&gt;&lt;p&gt;The 2024 Materials Genome Initiative (MGI) Principal Investigator Workshop, hosted by Johns Hopkins University on July 30-31 in Washington, DC, marked a significant milestone in advancing materials science and innovation. Bringing together nearly 300 participants&amp;mdash;including faculty, students, postdocs, government representatives, and industry experts&amp;mdash;the workshop aimed to evaluate progress, discuss grand challenges, and identify future opportunities within the framework set forth by the 2021 MGI Strategic Plan.&lt;/p&gt;
&lt;p&gt;The intellectual merit of the workshop was rooted in its extensive discussions around five central themes: current progress in MGI programs, identifying grand challenges for materials innovation, the transformative role of artificial intelligence (AI) and autonomous laboratories, capturing and applying digital knowledge, and exploring upcoming opportunities tied to these challenges. Participants actively engaged through plenary sessions, panel discussions, and breakout groups, offering important perspectives and collaborative insights.&lt;/p&gt;
&lt;p&gt;Significant intellectual contributions included presentations on the latest developments in AI-driven materials research, detailed updates from federal agencies, international efforts aligned with MGI goals, and important findings from recent national studies. Over 130 research posters and 55 oral presentations framed the intellectual dialogue by highlighting groundbreaking work and emerging areas of research across materials science.&lt;/p&gt;
&lt;p&gt;Breakout sessions provided targeted, in-depth exploration of how materials research could directly address pressing societal challenges. Groups identified tangible targets and mapped critical needs across seven key areas:&lt;/p&gt;
&lt;ol&gt;
&lt;li&gt;Protecting and Improving Human Health&lt;/li&gt;
&lt;li&gt;Delivering Resilient Energy&lt;/li&gt;
&lt;li&gt;Thriving in Extreme Environments&lt;/li&gt;
&lt;li&gt;Enhancing Structural Performance&lt;/li&gt;
&lt;li&gt;Protecting the Environment&lt;/li&gt;
&lt;li&gt;Propelling the Information and Communications Technology Revolution&lt;/li&gt;
&lt;li&gt;Advancing Critical and Emerging Technologies&lt;/li&gt;
&lt;/ol&gt;
&lt;p&gt;These discussions focused on creating actionable ideas and laying the foundation for future MGI initiatives.&lt;/p&gt;
&lt;p&gt;The broader impacts of the 2024 MGI PI Workshop are substantial, extending far beyond the immediate community of researchers. By uniting stakeholders across sectors and focused on the breadth of technical readiness levels of materials discovery, the workshop facilitated strategic connections among academia, government, and industry. Notably, the participation and engagement of students and early-career researchers&amp;mdash;as full partners in the workshop&amp;mdash;reinforced MGI&amp;rsquo;s commitment to developing future leaders in materials science. Additionally, the provision of travel awards enabled the inclusion of 19 promising students and postdocs to ensure wide perspective on discussions and outcomes.&lt;/p&gt;
&lt;p&gt;Community engagement efforts at the workshop directly supported the strategic goal of accelerating materials research deployment through AI and digital knowledge management. This approach promises not only technological breakthroughs but also sustainable economic benefits across society.&lt;/p&gt;
&lt;p&gt;Finally, the systematic documentation of workshop outcomes&amp;mdash;including archived notes, presentations, and a forthcoming publication of proceedings&amp;mdash;ensures ongoing accessibility and impact, enabling the broader materials science community to benefit from and build upon these valuable discussions.&lt;/p&gt;
&lt;p&gt;Overall, the 2024 MGI PI Workshop successfully fulfilled its mission to advance national materials innovation infrastructure, harness materials data powerfully, and educate, train, and connect the materials research workforce for sustained future progress.&lt;/p&gt;&lt;br&gt;
&lt;p&gt;
 Last Modified: 04/14/2025&lt;br&gt;
Modified by: Thao&amp;nbsp;D&amp;nbsp;Nguyen&lt;/p&gt;&lt;/div&gt;
&lt;div class="porSideCol"
&gt;&lt;/div&gt;
&lt;/div&gt;</t>
        </is>
      </c>
    </row>
    <row r="64" ht="18" customHeight="1">
      <c r="A64" s="22" t="inlineStr">
        <is>
          <t>2412295</t>
        </is>
      </c>
      <c r="B64" s="23" t="inlineStr">
        <is>
          <t>Collaborative Research: Ionospheric Density Response to American Solar Eclipses Using Coordinated Radio Observations with Modeling Support</t>
        </is>
      </c>
      <c r="C64" s="22" t="inlineStr">
        <is>
          <t>Standard Grant</t>
        </is>
      </c>
      <c r="D64" s="22" t="inlineStr">
        <is>
          <t>true</t>
        </is>
      </c>
      <c r="E64" s="22" t="inlineStr">
        <is>
          <t>04/10/2024</t>
        </is>
      </c>
      <c r="F64" s="22" t="inlineStr">
        <is>
          <t>04/15/2024</t>
        </is>
      </c>
      <c r="G64" s="22" t="inlineStr">
        <is>
          <t>03/31/2027</t>
        </is>
      </c>
      <c r="H64" s="22" t="inlineStr">
        <is>
          <t>2024</t>
        </is>
      </c>
      <c r="I64" s="24" t="n">
        <v>166193</v>
      </c>
      <c r="J64" s="24" t="n">
        <v>166193</v>
      </c>
      <c r="K64" s="22" t="inlineStr">
        <is>
          <t>Sebastijan</t>
        </is>
      </c>
      <c r="L64" s="22" t="inlineStr">
        <is>
          <t>Mrak</t>
        </is>
      </c>
      <c r="M64" s="22" t="inlineStr">
        <is>
          <t>sebastijan.mrak@jhuapl.edu</t>
        </is>
      </c>
      <c r="N64" s="22" t="inlineStr"/>
      <c r="O64" s="22" t="inlineStr">
        <is>
          <t>Sebastijan Mrak</t>
        </is>
      </c>
      <c r="P64" s="22" t="inlineStr">
        <is>
          <t>Shikha Raizada</t>
        </is>
      </c>
      <c r="Q64" s="22" t="inlineStr">
        <is>
          <t>sraizada@nsf.gov</t>
        </is>
      </c>
      <c r="R64" s="22" t="inlineStr">
        <is>
          <t>THE JOHNS HOPKINS UNIVERSITY</t>
        </is>
      </c>
      <c r="S64" s="22" t="inlineStr">
        <is>
          <t>BALTIMORE</t>
        </is>
      </c>
      <c r="T64" s="22" t="inlineStr">
        <is>
          <t>MD</t>
        </is>
      </c>
      <c r="U64" s="22" t="inlineStr">
        <is>
          <t>212182608</t>
        </is>
      </c>
      <c r="V64" s="22" t="inlineStr">
        <is>
          <t>FTMTDMBR29C7</t>
        </is>
      </c>
      <c r="W64" s="22" t="inlineStr">
        <is>
          <t>Laurel</t>
        </is>
      </c>
      <c r="X64" s="22" t="inlineStr">
        <is>
          <t>MD</t>
        </is>
      </c>
      <c r="Y64" s="22" t="inlineStr">
        <is>
          <t>GEO</t>
        </is>
      </c>
      <c r="Z64" s="22" t="inlineStr">
        <is>
          <t>AGS</t>
        </is>
      </c>
      <c r="AA64" s="23" t="inlineStr">
        <is>
          <t>AERONOMY</t>
        </is>
      </c>
      <c r="AB64" s="22" t="inlineStr"/>
      <c r="AC64" s="22" t="inlineStr">
        <is>
          <t>152100</t>
        </is>
      </c>
      <c r="AD64" s="22" t="inlineStr"/>
      <c r="AE64" s="22" t="inlineStr">
        <is>
          <t>47.050</t>
        </is>
      </c>
      <c r="AF64" s="22" t="inlineStr">
        <is>
          <t>1</t>
        </is>
      </c>
      <c r="AG64" s="22" t="inlineStr">
        <is>
          <t>04/10/2024</t>
        </is>
      </c>
      <c r="AH64" s="22" t="inlineStr">
        <is>
          <t>04/10/2024</t>
        </is>
      </c>
      <c r="AI64" s="23" t="inlineStr">
        <is>
          <t>Solar eclipses are unique celestial phenomena that offer excellent opportunity to explore the impacts of reduced solar flux on the ionosphere. As the moon’s shadow sweeps across the contiguous United States, it provides a natural laboratory to study the ionosphere—a partially ionized region of our atmosphere that plays a crucial role in radio communication, navigation, and space weather. During a solar eclipse, the reduction in solar radiation leads to a decrease in ionization. The investigators plan to take advantage of the upcoming solar eclipse in 2024 through coordinated multi-instruments observations of ionospheric parameters. The proposed work will deepen our understanding of the chemical and dynamical processes in the ionosphere-thermosphere (IT) system. Such events impact the plasma density, which adversely affects High Frequency (HF: 3-30 MHz) propagation and communication signals. While the macroscopic effects on the IT response are well understood, the detailed features controlling the ionospheric density including the transport in the F-region and topside ionosphere remain unclear. The project will strengthen collaborations with the citizen science community, support two early-career scientists and an undergraduate summer student. This project benefits society by improving communication reliability, enhancing space weather predictions, and supporting education and diversity in STEM fields.
One of the main objectives of the proposal is to understand and quantify the relative importance of external forces on the ionospheric density responses to the October 2023 and April 2024 solar eclipses as observed by HF sounding and compare the findings with the August 2017 solar eclipse. The proposal will focus on the following scientific topics: 1. Quantification of Eclipse-Driven Ionospheric Changes: the project seeks to understand how solar eclipses impact the ionosphere's electron density. It plans to investigate variations in the F-region height (HmF2) and the occurrence of the ionospheric G-condition (where NmF1≥NmF2), (2) Identification of Controlling Factors: By analyzing data from ground-based HF facilities, the researchers will quantify the relative importance of various factors in determining the ionospheric responses, including reduced EUV Flux, thermospheric winds, photoelectron transport and heating. The proposed scientific investigation involves the use of the SuperDARN, the Millstone Hill Incoherent Scatter Radar (MHISR), and HamSCI HF observations. This work encourages training and education of the younger generation and facilitates capacity building through the involvement of early career scientists.
This award reflects NSF's statutory mission and has been deemed worthy of support through evaluation using the Foundation's intellectual merit and broader impacts review criteria.</t>
        </is>
      </c>
      <c r="AJ64" s="23" t="inlineStr"/>
    </row>
    <row r="65" ht="18" customHeight="1">
      <c r="A65" s="25" t="inlineStr">
        <is>
          <t>2348680</t>
        </is>
      </c>
      <c r="B65" s="26" t="inlineStr">
        <is>
          <t>Tubular cellular biosensors</t>
        </is>
      </c>
      <c r="C65" s="25" t="inlineStr">
        <is>
          <t>Continuing Grant</t>
        </is>
      </c>
      <c r="D65" s="25" t="inlineStr">
        <is>
          <t>true</t>
        </is>
      </c>
      <c r="E65" s="25" t="inlineStr">
        <is>
          <t>04/09/2024</t>
        </is>
      </c>
      <c r="F65" s="25" t="inlineStr">
        <is>
          <t>04/01/2024</t>
        </is>
      </c>
      <c r="G65" s="25" t="inlineStr">
        <is>
          <t>03/31/2027</t>
        </is>
      </c>
      <c r="H65" s="25" t="inlineStr">
        <is>
          <t>2024</t>
        </is>
      </c>
      <c r="I65" s="27" t="n">
        <v>473007</v>
      </c>
      <c r="J65" s="27" t="n">
        <v>473007</v>
      </c>
      <c r="K65" s="25" t="inlineStr">
        <is>
          <t>David</t>
        </is>
      </c>
      <c r="L65" s="25" t="inlineStr">
        <is>
          <t>Gracias</t>
        </is>
      </c>
      <c r="M65" s="25" t="inlineStr">
        <is>
          <t>dgracias@jhu.edu</t>
        </is>
      </c>
      <c r="N65" s="25" t="inlineStr"/>
      <c r="O65" s="25" t="inlineStr">
        <is>
          <t>David Gracias</t>
        </is>
      </c>
      <c r="P65" s="25" t="inlineStr">
        <is>
          <t>Aleksandr Simonian</t>
        </is>
      </c>
      <c r="Q65" s="25" t="inlineStr">
        <is>
          <t>asimonia@nsf.gov</t>
        </is>
      </c>
      <c r="R65" s="25" t="inlineStr">
        <is>
          <t>THE JOHNS HOPKINS UNIVERSITY</t>
        </is>
      </c>
      <c r="S65" s="25" t="inlineStr">
        <is>
          <t>BALTIMORE</t>
        </is>
      </c>
      <c r="T65" s="25" t="inlineStr">
        <is>
          <t>MD</t>
        </is>
      </c>
      <c r="U65" s="25" t="inlineStr">
        <is>
          <t>212182608</t>
        </is>
      </c>
      <c r="V65" s="25" t="inlineStr">
        <is>
          <t>FTMTDMBR29C7</t>
        </is>
      </c>
      <c r="W65" s="25" t="inlineStr">
        <is>
          <t>BALTIMORE</t>
        </is>
      </c>
      <c r="X65" s="25" t="inlineStr">
        <is>
          <t>MD</t>
        </is>
      </c>
      <c r="Y65" s="25" t="inlineStr">
        <is>
          <t>ENG</t>
        </is>
      </c>
      <c r="Z65" s="25" t="inlineStr">
        <is>
          <t>CBET</t>
        </is>
      </c>
      <c r="AA65" s="26" t="inlineStr">
        <is>
          <t>BIOSENS-Biosensing</t>
        </is>
      </c>
      <c r="AB65" s="25" t="inlineStr">
        <is>
          <t>SENSORS AND SENSING SYSTEMS, Sensor Technology</t>
        </is>
      </c>
      <c r="AC65" s="25" t="inlineStr">
        <is>
          <t>790900</t>
        </is>
      </c>
      <c r="AD65" s="25" t="inlineStr">
        <is>
          <t>1639, 8028</t>
        </is>
      </c>
      <c r="AE65" s="25" t="inlineStr">
        <is>
          <t>47.041</t>
        </is>
      </c>
      <c r="AF65" s="25" t="inlineStr">
        <is>
          <t>1</t>
        </is>
      </c>
      <c r="AG65" s="25" t="inlineStr">
        <is>
          <t>04/09/2024</t>
        </is>
      </c>
      <c r="AH65" s="25" t="inlineStr">
        <is>
          <t>09/02/2025</t>
        </is>
      </c>
      <c r="AI65" s="26" t="inlineStr">
        <is>
          <t>Layered cellular tubes widely occur in biological systems and the human body, ranging from tiny blood vessels to mammary ducts, and these are essential for the efficient delivery of substrates, secretory, and excretory products in multi-tissue systems. This project aims to design, fabricate, model, and validate tubular biosensors to probe the behavior of cells in tubes with anatomically relevant design. The project advances biosensors from inherently planar to tubular and curved environments. It will allow the systematic study of the individual and combinatorial impact of biochemical stimuli, local curvature, and stiffness on the function of live cells in tubular environments. Insights from this work will be useful in diverse fields, including in situ biosensor design for real-time measurements in living systems, biofilms, and organ-on-chip models of environmental exposures and disease modeling.
Strain produced by curvature has a pronounced effect on cellular behavior, and fluid flow can be significantly different in tubes with rectangular vs. circular cross-sections. Hence, developing tissue-engineered models for tubular ducts, especially at sub-millimeter diameters, is a critical yet unmet challenge in cell biology and bioengineering. This proposal aims to combine biosensor integration and cell biology expertise to create anatomically relevant tubular cellular biosensors with tunable dimensions and cellular characteristics. Complex and anatomically relevant cell-laden tubes will be mass-produced using accurate alignment and layering of cells and matrix, along with functional biosensors based on electrical readouts. Tubular and curved integrated electroanalytical sensors include electrochemical and biochemical sensors that measure the effects of the physical and chemical variables on cellular function. New integrated biosensor platforms will be developed as model systems to interrogate cell behavior in response to biochemical stimuli in anatomically relevant microenvironments. Studies will include comparisons of cell function in varying curvature vs. planar geometries, which is vital for addressing unanswered questions on the role of geometry in the microenvironment on fundamental cell biology and biomedical engineering. The broader impacts of the proposal include integrating principles of 3D biosensor integration and the effect of geometry on living systems into educational curricula and K-12, undergraduate and graduate STEM training, and research experiences. These efforts will enhance interdisciplinary cooperativity among the pools of engineering, biology, chemistry, and medicine trainees that the PI’s interface with and serve as a template for catalyzing investigation and innovation on these topics through regional, national, and international scientific forums.
This award reflects NSF's statutory mission and has been deemed worthy of support through evaluation using the Foundation's intellectual merit and broader impacts review criteria.</t>
        </is>
      </c>
      <c r="AJ65" s="26" t="inlineStr"/>
    </row>
    <row r="66" ht="18" customHeight="1">
      <c r="A66" s="22" t="inlineStr">
        <is>
          <t>2331295</t>
        </is>
      </c>
      <c r="B66" s="23" t="inlineStr">
        <is>
          <t>Collaborative Research: Extreme Mechanics of the Human Brain via Integrated In Vivo and Ex Vivo Mechanical Experiments</t>
        </is>
      </c>
      <c r="C66" s="22" t="inlineStr">
        <is>
          <t>Standard Grant</t>
        </is>
      </c>
      <c r="D66" s="22" t="inlineStr">
        <is>
          <t>true</t>
        </is>
      </c>
      <c r="E66" s="22" t="inlineStr">
        <is>
          <t>03/21/2024</t>
        </is>
      </c>
      <c r="F66" s="22" t="inlineStr">
        <is>
          <t>04/01/2024</t>
        </is>
      </c>
      <c r="G66" s="22" t="inlineStr">
        <is>
          <t>03/31/2027</t>
        </is>
      </c>
      <c r="H66" s="22" t="inlineStr">
        <is>
          <t>2024</t>
        </is>
      </c>
      <c r="I66" s="24" t="n">
        <v>274297</v>
      </c>
      <c r="J66" s="24" t="n">
        <v>274297</v>
      </c>
      <c r="K66" s="22" t="inlineStr">
        <is>
          <t>Michael</t>
        </is>
      </c>
      <c r="L66" s="22" t="inlineStr">
        <is>
          <t>Shields</t>
        </is>
      </c>
      <c r="M66" s="22" t="inlineStr">
        <is>
          <t>michael.shields@jhu.edu</t>
        </is>
      </c>
      <c r="N66" s="22" t="inlineStr">
        <is>
          <t>DIMITRIOS GIOVANIS dgiovan1@jhu.edu</t>
        </is>
      </c>
      <c r="O66" s="22" t="inlineStr">
        <is>
          <t>Michael D Shields</t>
        </is>
      </c>
      <c r="P66" s="22" t="inlineStr">
        <is>
          <t>Shivani Sharma</t>
        </is>
      </c>
      <c r="Q66" s="22" t="inlineStr">
        <is>
          <t>shisharm@nsf.gov</t>
        </is>
      </c>
      <c r="R66" s="22" t="inlineStr">
        <is>
          <t>THE JOHNS HOPKINS UNIVERSITY</t>
        </is>
      </c>
      <c r="S66" s="22" t="inlineStr">
        <is>
          <t>BALTIMORE</t>
        </is>
      </c>
      <c r="T66" s="22" t="inlineStr">
        <is>
          <t>MD</t>
        </is>
      </c>
      <c r="U66" s="22" t="inlineStr">
        <is>
          <t>212182608</t>
        </is>
      </c>
      <c r="V66" s="22" t="inlineStr">
        <is>
          <t>FTMTDMBR29C7</t>
        </is>
      </c>
      <c r="W66" s="22" t="inlineStr">
        <is>
          <t>BALTIMORE</t>
        </is>
      </c>
      <c r="X66" s="22" t="inlineStr">
        <is>
          <t>MD</t>
        </is>
      </c>
      <c r="Y66" s="22" t="inlineStr">
        <is>
          <t>ENG</t>
        </is>
      </c>
      <c r="Z66" s="22" t="inlineStr">
        <is>
          <t>CMMI</t>
        </is>
      </c>
      <c r="AA66" s="23" t="inlineStr">
        <is>
          <t>BMMB-Biomech &amp; Mechanobiology</t>
        </is>
      </c>
      <c r="AB66" s="22" t="inlineStr"/>
      <c r="AC66" s="22" t="inlineStr">
        <is>
          <t>747900</t>
        </is>
      </c>
      <c r="AD66" s="22" t="inlineStr"/>
      <c r="AE66" s="22" t="inlineStr">
        <is>
          <t>47.041</t>
        </is>
      </c>
      <c r="AF66" s="22" t="inlineStr">
        <is>
          <t>1</t>
        </is>
      </c>
      <c r="AG66" s="22" t="inlineStr">
        <is>
          <t>03/21/2024</t>
        </is>
      </c>
      <c r="AH66" s="22" t="inlineStr">
        <is>
          <t>03/21/2024</t>
        </is>
      </c>
      <c r="AI66" s="23" t="inlineStr">
        <is>
          <t>The human brain exhibits complex mechanical behavior. Its deformation under external forces depends on the extent and speed of loading. Rapid deformation of the brain during events such as blasts and automotive crashes can cause traumatic brain injury. Understanding the mechanical behavior of the human brain under such extreme conditions is critical to developing computer models for predicting brain injury. This knowledge is also needed to design safer personal protective equipment and brain injury management and prevention strategies. Unfortunately, the current understanding of the mechanical behavior of living humans' brains is restricted to small deformations and a narrow range of loading rates that do not represent the full spectrum of injury-causing conditions. This award supports fundamental research combining high-rate mechanical testing, analytical and computational modeling, and machine learning to generate insights into how the living human brain responds to large and rapid loading. Results from this research will positively impact U.S. national health and welfare and will contribute to the fields of tissue mechanics, traumatic brain injury, and machine learning. This project will lead to new courses and involve contributions from underrepresented minorities.
The overarching goal of this research is to understand the high strain rate mechanics of the brain in its native biophysical environment. The first stage will focus on tissue responses under small deformations and dynamic strain rates. Wide-band Magnetic Resonance Elastography experiments will be conducted on brain tissue specimens from multiple brain regions to develop linear viscoelastic constitutive models. Multi-fidelity models will be developed to fuse the observed responses with available narrow-band in vivo brain tissue responses for predicting linear viscoelastic properties of the in vivo brain tissue in a wide range of loading frequencies. The second stage will focus on tissue responses under large deformations and extreme strain rates. Quasi-static and dynamic mechanical testing will be conducted to develop visco-hyperelastic constitutive models. Physics-informed multi-fidelity models will be developed to fuse the ex vivo visco-hyperelastic responses with the in vivo linear viscoelastic responses characterized in the previous stage. This study will significantly advance our understanding of brain biomechanics by generating insights into the relationship between in vivo and ex vivo tissue mechanics and the first-ever full-field maps of the living brain’s mechanical properties applicable under extreme loading conditions.
This award reflects NSF's statutory mission and has been deemed worthy of support through evaluation using the Foundation's intellectual merit and broader impacts review criteria.</t>
        </is>
      </c>
      <c r="AJ66" s="23" t="inlineStr"/>
    </row>
    <row r="67" ht="18" customHeight="1">
      <c r="A67" s="25" t="inlineStr">
        <is>
          <t>2420989</t>
        </is>
      </c>
      <c r="B67" s="26" t="inlineStr">
        <is>
          <t>I-Corps: Translation Potential of a Minimally Invasive Continuum Surgical Robot for the Eye/Ear</t>
        </is>
      </c>
      <c r="C67" s="25" t="inlineStr">
        <is>
          <t>Standard Grant</t>
        </is>
      </c>
      <c r="D67" s="25" t="inlineStr">
        <is>
          <t>false</t>
        </is>
      </c>
      <c r="E67" s="25" t="inlineStr">
        <is>
          <t>04/01/2024</t>
        </is>
      </c>
      <c r="F67" s="25" t="inlineStr">
        <is>
          <t>04/01/2024</t>
        </is>
      </c>
      <c r="G67" s="25" t="inlineStr">
        <is>
          <t>03/31/2025</t>
        </is>
      </c>
      <c r="H67" s="25" t="inlineStr">
        <is>
          <t>2024</t>
        </is>
      </c>
      <c r="I67" s="27" t="n">
        <v>50000</v>
      </c>
      <c r="J67" s="27" t="n">
        <v>50000</v>
      </c>
      <c r="K67" s="25" t="inlineStr">
        <is>
          <t>David</t>
        </is>
      </c>
      <c r="L67" s="25" t="inlineStr">
        <is>
          <t>Usevitch</t>
        </is>
      </c>
      <c r="M67" s="25" t="inlineStr">
        <is>
          <t>usevitch@jhu.edu</t>
        </is>
      </c>
      <c r="N67" s="25" t="inlineStr"/>
      <c r="O67" s="25" t="inlineStr">
        <is>
          <t>David Usevitch</t>
        </is>
      </c>
      <c r="P67" s="25" t="inlineStr">
        <is>
          <t>Ruth Shuman</t>
        </is>
      </c>
      <c r="Q67" s="25" t="inlineStr">
        <is>
          <t>rshuman@nsf.gov</t>
        </is>
      </c>
      <c r="R67" s="25" t="inlineStr">
        <is>
          <t>THE JOHNS HOPKINS UNIVERSITY</t>
        </is>
      </c>
      <c r="S67" s="25" t="inlineStr">
        <is>
          <t>BALTIMORE</t>
        </is>
      </c>
      <c r="T67" s="25" t="inlineStr">
        <is>
          <t>MD</t>
        </is>
      </c>
      <c r="U67" s="25" t="inlineStr">
        <is>
          <t>212182608</t>
        </is>
      </c>
      <c r="V67" s="25" t="inlineStr">
        <is>
          <t>FTMTDMBR29C7</t>
        </is>
      </c>
      <c r="W67" s="25" t="inlineStr">
        <is>
          <t>BALTIMORE</t>
        </is>
      </c>
      <c r="X67" s="25" t="inlineStr">
        <is>
          <t>MD</t>
        </is>
      </c>
      <c r="Y67" s="25" t="inlineStr">
        <is>
          <t>TIP</t>
        </is>
      </c>
      <c r="Z67" s="25" t="inlineStr">
        <is>
          <t>TI</t>
        </is>
      </c>
      <c r="AA67" s="26" t="inlineStr">
        <is>
          <t>I-Corps</t>
        </is>
      </c>
      <c r="AB67" s="25" t="inlineStr">
        <is>
          <t>BIOMEDICAL ENGINEERING</t>
        </is>
      </c>
      <c r="AC67" s="25" t="inlineStr">
        <is>
          <t>802300</t>
        </is>
      </c>
      <c r="AD67" s="25" t="inlineStr">
        <is>
          <t>5345</t>
        </is>
      </c>
      <c r="AE67" s="25" t="inlineStr">
        <is>
          <t>47.084</t>
        </is>
      </c>
      <c r="AF67" s="25" t="inlineStr">
        <is>
          <t>1</t>
        </is>
      </c>
      <c r="AG67" s="25" t="inlineStr">
        <is>
          <t>04/01/2024</t>
        </is>
      </c>
      <c r="AH67" s="25" t="inlineStr">
        <is>
          <t>04/01/2024</t>
        </is>
      </c>
      <c r="AI67" s="26" t="inlineStr">
        <is>
          <t>The broader impact of this I-Corps project is the development of a minimally invasive, robotic, surgical device for specialized procedures in the eye and ear. A delivery system that can more accurately navigate to the subretinal space has the potential to more safely and efficiently deliver and accurately position a stem cell sheet (or other therapeutic medium) in the eye. Accurate and safe delivery could lead to improvements in retinal degenerative diseases (which affect over 400 million people worldwide) making the procedure simpler and faster. The device also holds the potential for improved steering of cochlear implants or other therapeutics into the cochlea for restoring hearing loss. The ideal device would become a surgical tool for minimally invasive surgical steering maneuvers around the world. 
This I-Corps project utilizes experiential learning coupled with a first-hand investigation of the industry ecosystem to assess the translation potential of the technology. The solution is based on the development of a minimally invasive device made up of a disposable continuum manipulator for steering through anatomy, and a handle which can be either held or mounted. Various prototypes have been constructed and tested in various phantom mediums, such as gels and replicated three-dimensional printed anatomy. The device has also been mounted on other robotic arms for use as an end-effector manipulator in some of these tests. The device is being tested in animal cadaver models and further development is underway for refinement and improved steering characterization.
This award reflects NSF's statutory mission and has been deemed worthy of support through evaluation using the Foundation's intellectual merit and broader impacts review criteria.</t>
        </is>
      </c>
      <c r="AJ67" s="26" t="inlineStr"/>
    </row>
    <row r="68" ht="18" customHeight="1">
      <c r="A68" s="22" t="inlineStr">
        <is>
          <t>2341907</t>
        </is>
      </c>
      <c r="B68" s="23" t="inlineStr">
        <is>
          <t>Doctoral Dissertation Research Improvement Grant: Early Botany and Indigenous Plant-Related Knowledge</t>
        </is>
      </c>
      <c r="C68" s="22" t="inlineStr">
        <is>
          <t>Standard Grant</t>
        </is>
      </c>
      <c r="D68" s="22" t="inlineStr">
        <is>
          <t>false</t>
        </is>
      </c>
      <c r="E68" s="22" t="inlineStr">
        <is>
          <t>02/20/2024</t>
        </is>
      </c>
      <c r="F68" s="22" t="inlineStr">
        <is>
          <t>03/01/2024</t>
        </is>
      </c>
      <c r="G68" s="22" t="inlineStr">
        <is>
          <t>02/28/2026</t>
        </is>
      </c>
      <c r="H68" s="22" t="inlineStr">
        <is>
          <t>2024</t>
        </is>
      </c>
      <c r="I68" s="24" t="n">
        <v>19603</v>
      </c>
      <c r="J68" s="24" t="n">
        <v>19603</v>
      </c>
      <c r="K68" s="22" t="inlineStr">
        <is>
          <t>Lawrence</t>
        </is>
      </c>
      <c r="L68" s="22" t="inlineStr">
        <is>
          <t>Principe</t>
        </is>
      </c>
      <c r="M68" s="22" t="inlineStr">
        <is>
          <t>lmafp@jhu.edu</t>
        </is>
      </c>
      <c r="N68" s="22" t="inlineStr">
        <is>
          <t>Marlis A Hinckley mhinckl1@jh.edu</t>
        </is>
      </c>
      <c r="O68" s="22" t="inlineStr">
        <is>
          <t>Lawrence M Principe</t>
        </is>
      </c>
      <c r="P68" s="22" t="inlineStr">
        <is>
          <t>Wenda K. Bauchspies</t>
        </is>
      </c>
      <c r="Q68" s="22" t="inlineStr">
        <is>
          <t>wbauchsp@nsf.gov</t>
        </is>
      </c>
      <c r="R68" s="22" t="inlineStr">
        <is>
          <t>THE JOHNS HOPKINS UNIVERSITY</t>
        </is>
      </c>
      <c r="S68" s="22" t="inlineStr">
        <is>
          <t>BALTIMORE</t>
        </is>
      </c>
      <c r="T68" s="22" t="inlineStr">
        <is>
          <t>MD</t>
        </is>
      </c>
      <c r="U68" s="22" t="inlineStr">
        <is>
          <t>212182608</t>
        </is>
      </c>
      <c r="V68" s="22" t="inlineStr">
        <is>
          <t>FTMTDMBR29C7</t>
        </is>
      </c>
      <c r="W68" s="22" t="inlineStr">
        <is>
          <t>BALTIMORE</t>
        </is>
      </c>
      <c r="X68" s="22" t="inlineStr">
        <is>
          <t>MD</t>
        </is>
      </c>
      <c r="Y68" s="22" t="inlineStr">
        <is>
          <t>SBE</t>
        </is>
      </c>
      <c r="Z68" s="22" t="inlineStr">
        <is>
          <t>SES</t>
        </is>
      </c>
      <c r="AA68" s="23" t="inlineStr">
        <is>
          <t>Science &amp; Technology Studies</t>
        </is>
      </c>
      <c r="AB68" s="22" t="inlineStr">
        <is>
          <t>GRADUATE INVOLVEMENT</t>
        </is>
      </c>
      <c r="AC68" s="22" t="inlineStr">
        <is>
          <t>124Y00</t>
        </is>
      </c>
      <c r="AD68" s="22" t="inlineStr">
        <is>
          <t>9179</t>
        </is>
      </c>
      <c r="AE68" s="22" t="inlineStr">
        <is>
          <t>47.075</t>
        </is>
      </c>
      <c r="AF68" s="22" t="inlineStr">
        <is>
          <t>1</t>
        </is>
      </c>
      <c r="AG68" s="22" t="inlineStr">
        <is>
          <t>02/20/2024</t>
        </is>
      </c>
      <c r="AH68" s="22" t="inlineStr">
        <is>
          <t>02/20/2024</t>
        </is>
      </c>
      <c r="AI68" s="23" t="inlineStr">
        <is>
          <t>This doctoral dissertation improvement grant supports a project in the history of botany. Specifically, it will examine intercontinental plant transfer during the early colonial period. It aims to use this critical period in the history of science to bring attention to how Indigenous people in the Hispanic world made key contributions to modern botany, as well as exploring how earlier societies dealt with the rapid influx of new information in an Information Age of their own. Many plants are familiar to global audiences, including marigolds from Mexico, citruses from China, lilies from South Africa, and many more. Most of these plants became familiar to global audiences only after the rise of the colonial empires, when regular cross-oceanic voyages made the transfer of plants, animals, people, and information around the world faster and easier than ever before. The results of this project will illustrate the many ways in which people have understood the natural world over time, recognizing the continued co-existence of multiple worldviews in different places. By providing public outreach based in the modern botanical garden, this project will help the public and students connect this period in history to the physical and intellectual world they live in today.
In tracing the movement of plants and plant-related knowledge in the early modern Spanish empire, this project brings together archaeological, anthropological, and historical information to better understand how plants moved around the Atlantic. By comparing printed botanical texts with archaeological and documentary evidence about where plants were grown, this project provides new tools for investigating how people thought about plants outside official circles. This space-based method has potential for broader application in extending the history of science to include more groups who did not produce written works in the Western tradition.
This award reflects NSF's statutory mission and has been deemed worthy of support through evaluation using the Foundation's intellectual merit and broader impacts review criteria.</t>
        </is>
      </c>
      <c r="AJ68" s="23" t="inlineStr">
        <is>
          <t>&lt;div class="porColContainerWBG"&gt;
&lt;div class="porContentCol"&gt;&lt;p&gt;This grant led to the completion of a doctoral dissertation focused on the history of botanical knowledge in the early modern period. As people from the Iberian peninsula arrived in the Americas to found what would become New Spain, they were exposed to plants, animals, and people they hadn&amp;rsquo;t formerly known existed. The same was true for people on the other side of this exchange, who also found their systems for classifying and using plants flooded with new examples from all three continents of the &amp;lsquo;Old World&amp;rsquo;. These plants were largely transferred through gardens, which comprised the main focus of this project. By mapping out the gardens of selected religious and medical institutions in early New Spain through the study of archival material, anthropology, and archaeobotany, this project contributed to our understanding of how scientific systems react to large influxes of new information.&lt;/p&gt;
&lt;p&gt;&amp;nbsp;&amp;nbsp;&amp;nbsp;&amp;nbsp;&amp;nbsp; More specifically, by examining which plants were transferred between different types of gardens in early New Spain and the Iberian peninsula, this study found that aesthetics, the search for new medicines, and religious motives were significant motives for pursuing new information about plants, with Christian missionaries on the expanding frontier seeking out botanical knowledge in order to carry out their religious mission and transmit doctrinal messages. In some cases, &amp;lsquo;ornamentalization&amp;rsquo;, or recategorizing a medicinal plant as an aesthetic object, appears to have been used to strip plants of their non-Christian associations and make them suitable for export and cultivation at European-sponsored institutions in the Americas and in Europe itself. By emphasizing these links, this project not only underlined the inseparability of scientific and religious goals, but suggested that they might usefully be studied in contexts where these categories are blurry, as they were not recognized as separate by people at the time.&lt;/p&gt;
&lt;p&gt;&amp;nbsp;&amp;nbsp;&amp;nbsp;&amp;nbsp;&amp;nbsp;&amp;nbsp;&amp;nbsp;&amp;nbsp;&amp;nbsp;&amp;nbsp;&amp;nbsp; As this project was carried out with collaborators at the Botanical Garden of the UNAM, it also helped contribute to an overall public outreach mission, aiming to make people more aware of the global history of the plants with which we interact on an everyday basis. It included the creation of a database of historical plant uses, which will be accessible for future researchers studying plant-based medicine and the history of botanical knowledge in the region. By doing so, it built a case for the integration of humanistic studies within the sciences, presenting people with not only a modern view of plants, but one that stretches further back into the past.&lt;/p&gt;
&lt;p&gt;&amp;nbsp;&lt;/p&gt;&lt;br&gt;
&lt;p&gt;
 Last Modified: 03/31/2026&lt;br&gt;
Modified by: Marlis&amp;nbsp;A&amp;nbsp;Hinckley&lt;/p&gt;&lt;/div&gt;
&lt;div class="porSideCol"
&gt;&lt;/div&gt;
&lt;/div&gt;</t>
        </is>
      </c>
    </row>
    <row r="69" ht="18" customHeight="1">
      <c r="A69" s="25" t="inlineStr">
        <is>
          <t>2401162</t>
        </is>
      </c>
      <c r="B69" s="26" t="inlineStr">
        <is>
          <t>SHINE: Solar Energetic Particles Mediating Interplanetary Shocks Close to the Sun</t>
        </is>
      </c>
      <c r="C69" s="25" t="inlineStr">
        <is>
          <t>Continuing Grant</t>
        </is>
      </c>
      <c r="D69" s="25" t="inlineStr">
        <is>
          <t>true</t>
        </is>
      </c>
      <c r="E69" s="25" t="inlineStr">
        <is>
          <t>02/05/2024</t>
        </is>
      </c>
      <c r="F69" s="25" t="inlineStr">
        <is>
          <t>03/01/2024</t>
        </is>
      </c>
      <c r="G69" s="25" t="inlineStr">
        <is>
          <t>02/28/2027</t>
        </is>
      </c>
      <c r="H69" s="25" t="inlineStr">
        <is>
          <t>2024</t>
        </is>
      </c>
      <c r="I69" s="27" t="n">
        <v>540763</v>
      </c>
      <c r="J69" s="27" t="n">
        <v>579686</v>
      </c>
      <c r="K69" s="25" t="inlineStr">
        <is>
          <t>Parisa</t>
        </is>
      </c>
      <c r="L69" s="25" t="inlineStr">
        <is>
          <t>Mostafavi</t>
        </is>
      </c>
      <c r="M69" s="25" t="inlineStr">
        <is>
          <t>Parisa.Mostafavi@jhuapl.edu</t>
        </is>
      </c>
      <c r="N69" s="25" t="inlineStr">
        <is>
          <t>Matthew E Hill matt.hill@jhuapl.edu, Athanasios Kouloumvakos Athanasios.Kouloumvakos@jhuapl.edu</t>
        </is>
      </c>
      <c r="O69" s="25" t="inlineStr">
        <is>
          <t>Parisa Mostafavi</t>
        </is>
      </c>
      <c r="P69" s="25" t="inlineStr">
        <is>
          <t>Andreas Keiling</t>
        </is>
      </c>
      <c r="Q69" s="25" t="inlineStr">
        <is>
          <t>akeiling@nsf.gov</t>
        </is>
      </c>
      <c r="R69" s="25" t="inlineStr">
        <is>
          <t>THE JOHNS HOPKINS UNIVERSITY</t>
        </is>
      </c>
      <c r="S69" s="25" t="inlineStr">
        <is>
          <t>BALTIMORE</t>
        </is>
      </c>
      <c r="T69" s="25" t="inlineStr">
        <is>
          <t>MD</t>
        </is>
      </c>
      <c r="U69" s="25" t="inlineStr">
        <is>
          <t>212182608</t>
        </is>
      </c>
      <c r="V69" s="25" t="inlineStr">
        <is>
          <t>FTMTDMBR29C7</t>
        </is>
      </c>
      <c r="W69" s="25" t="inlineStr">
        <is>
          <t>Laurel</t>
        </is>
      </c>
      <c r="X69" s="25" t="inlineStr">
        <is>
          <t>MD</t>
        </is>
      </c>
      <c r="Y69" s="25" t="inlineStr">
        <is>
          <t>GEO</t>
        </is>
      </c>
      <c r="Z69" s="25" t="inlineStr">
        <is>
          <t>AGS</t>
        </is>
      </c>
      <c r="AA69" s="26" t="inlineStr">
        <is>
          <t>SOLAR-TERRESTRIAL</t>
        </is>
      </c>
      <c r="AB69" s="25" t="inlineStr"/>
      <c r="AC69" s="25" t="inlineStr">
        <is>
          <t>152300</t>
        </is>
      </c>
      <c r="AD69" s="25" t="inlineStr"/>
      <c r="AE69" s="25" t="inlineStr">
        <is>
          <t>47.050</t>
        </is>
      </c>
      <c r="AF69" s="25" t="inlineStr">
        <is>
          <t>1</t>
        </is>
      </c>
      <c r="AG69" s="25" t="inlineStr">
        <is>
          <t>02/05/2024</t>
        </is>
      </c>
      <c r="AH69" s="25" t="inlineStr">
        <is>
          <t>08/05/2025</t>
        </is>
      </c>
      <c r="AI69" s="26" t="inlineStr">
        <is>
          <t>Solar energetic particles (SEPs) are high-energy particles that can propagate from the Sun all the way to the surface of the Earth, which can cause significant disruptions to communication systems. Their generation mechanisms remain a subject of much debate, with strong coronal and interplanetary discontinuities or shocks driven by coronal mass ejections (CME) being likely responsible. Previous observations studied these shocks at different solar distances from the Earth’s orbit to the outer heliosphere, but were limited to distances mostly outside the Earth’s orbit (&gt;1 au). Currently, however, observations with Parker Solar Probe (PSP) and Solar Orbiter (SolO) allow us to build a more complete picture by probing extensively distances below 1 au. A key consequence of studying this region, which is the goal of this project, is that these in-situ observations will provide SEP and shock measurements that are dramatically less affected by transport effects as the spacecraft progressively get closer to the Sun.
The data from PSP and SolO will be analyzed for periods when these spacecraft observe shock events with exceptionally high SEP intensities. The results will address the significant issue of energetic particle acceleration by shocks near the Sun and how the particles affect the structure of these young shocks. Additionally, as energetic-particle-mediated shocks are predicted to occur in various astrophysical settings across a broad range of spatial and temporal scales, our comprehensive search for such structures very close to our Sun may fundamentally contribute to our understanding of well-known ‘cosmic ray’-mediated collisionless shocks. The science goals of this project are to (1) quantify SEP-mediated shocks, (2) assess SEP impact on shock mediation, and (3) explore shock-SEP relationships. This project will support students from the APL CIRCUIT Program to work on this project which will be promoting research and education.
This award reflects NSF's statutory mission and has been deemed worthy of support through evaluation using the Foundation's intellectual merit and broader impacts review criteria.</t>
        </is>
      </c>
      <c r="AJ69" s="26" t="inlineStr"/>
    </row>
    <row r="70" ht="18" customHeight="1">
      <c r="A70" s="22" t="inlineStr">
        <is>
          <t>2346870</t>
        </is>
      </c>
      <c r="B70" s="23" t="inlineStr">
        <is>
          <t>I-Corps: Neurostimulation Platform for Effective Treatment of Palatal Collapse in Obstructive Sleep Apnea</t>
        </is>
      </c>
      <c r="C70" s="22" t="inlineStr">
        <is>
          <t>Standard Grant</t>
        </is>
      </c>
      <c r="D70" s="22" t="inlineStr">
        <is>
          <t>false</t>
        </is>
      </c>
      <c r="E70" s="22" t="inlineStr">
        <is>
          <t>02/12/2024</t>
        </is>
      </c>
      <c r="F70" s="22" t="inlineStr">
        <is>
          <t>02/15/2024</t>
        </is>
      </c>
      <c r="G70" s="22" t="inlineStr">
        <is>
          <t>01/31/2026</t>
        </is>
      </c>
      <c r="H70" s="22" t="inlineStr">
        <is>
          <t>2024</t>
        </is>
      </c>
      <c r="I70" s="24" t="n">
        <v>50000</v>
      </c>
      <c r="J70" s="24" t="n">
        <v>50000</v>
      </c>
      <c r="K70" s="22" t="inlineStr">
        <is>
          <t>Youseph</t>
        </is>
      </c>
      <c r="L70" s="22" t="inlineStr">
        <is>
          <t>Yazdi</t>
        </is>
      </c>
      <c r="M70" s="22" t="inlineStr">
        <is>
          <t>yyazdi@jhu.edu</t>
        </is>
      </c>
      <c r="N70" s="22" t="inlineStr"/>
      <c r="O70" s="22" t="inlineStr">
        <is>
          <t>Youseph Yazdi</t>
        </is>
      </c>
      <c r="P70" s="22" t="inlineStr">
        <is>
          <t>Ruth Shuman</t>
        </is>
      </c>
      <c r="Q70" s="22" t="inlineStr">
        <is>
          <t>rshuman@nsf.gov</t>
        </is>
      </c>
      <c r="R70" s="22" t="inlineStr">
        <is>
          <t>THE JOHNS HOPKINS UNIVERSITY</t>
        </is>
      </c>
      <c r="S70" s="22" t="inlineStr">
        <is>
          <t>BALTIMORE</t>
        </is>
      </c>
      <c r="T70" s="22" t="inlineStr">
        <is>
          <t>MD</t>
        </is>
      </c>
      <c r="U70" s="22" t="inlineStr">
        <is>
          <t>212182608</t>
        </is>
      </c>
      <c r="V70" s="22" t="inlineStr">
        <is>
          <t>FTMTDMBR29C7</t>
        </is>
      </c>
      <c r="W70" s="22" t="inlineStr">
        <is>
          <t>BALTIMORE</t>
        </is>
      </c>
      <c r="X70" s="22" t="inlineStr">
        <is>
          <t>MD</t>
        </is>
      </c>
      <c r="Y70" s="22" t="inlineStr">
        <is>
          <t>TIP</t>
        </is>
      </c>
      <c r="Z70" s="22" t="inlineStr">
        <is>
          <t>TI</t>
        </is>
      </c>
      <c r="AA70" s="23" t="inlineStr">
        <is>
          <t>I-Corps</t>
        </is>
      </c>
      <c r="AB70" s="22" t="inlineStr">
        <is>
          <t>BIOMEDICAL ENGINEERING</t>
        </is>
      </c>
      <c r="AC70" s="22" t="inlineStr">
        <is>
          <t>802300</t>
        </is>
      </c>
      <c r="AD70" s="22" t="inlineStr">
        <is>
          <t>5345</t>
        </is>
      </c>
      <c r="AE70" s="22" t="inlineStr">
        <is>
          <t>47.084</t>
        </is>
      </c>
      <c r="AF70" s="22" t="inlineStr">
        <is>
          <t>1</t>
        </is>
      </c>
      <c r="AG70" s="22" t="inlineStr">
        <is>
          <t>02/12/2024</t>
        </is>
      </c>
      <c r="AH70" s="22" t="inlineStr">
        <is>
          <t>02/12/2024</t>
        </is>
      </c>
      <c r="AI70" s="23" t="inlineStr">
        <is>
          <t>The broader impact/commercial potential of this I-Corps project is the development of a solution for complete concentric collapse of the palate (CCCp), a severe anatomical phenotype of obstructive sleep apnea (OSA). OSA affects over 1 billion people globally, including 54 million in the U.S. Untreated, CCCp leads to debilitating daytime sleepiness, neurocognitive dysfunction, accidents, and doubles the risk of heart attack, stroke, and diabetes, costing the US healthcare system $88 billion annually. Notably, 30% of all OSA patients, or 16 million Americans, suffer from CCCp, a particularly challenging form of sleep apnea to treat. Over half of the patients fail the first-line treatment of continuous positive airway pressure (CPAP), and many avoid costly surgeries, leaving 6 million untreated yearly. This solution offers a non-invasive, clinically effective treatment for OSA patients, focusing on CCCp and poorly treated palatal collapse. This technology seeks to transform sleep apnea care by providing an accessible treatment option with significant societal and commercial impact.
This I-Corps project is based on the development of a neurostimulation platform addressing the need for non-invasive, clinically effective treatment of palatal collapse in obstructive sleep apnea (OSA) patients. Unlike traditional neurostimulation methods with limited applicability and invasive implantation, this approach takes a non-invasive approach by targeting stimulation to the palate and pharynx. The device may be fit and titrated in-clinic and deployed by patients each night at-home. The technology involves a removable oral appliance that activates stimulation during sleep, timing therapy delivery to patient inspiration. The device set, comprising the oral appliance and a wireless charging case, enables easy control of stimulation parameters. The case also records and uploads usage and disease parameters, offering data for clinician-guided therapy optimization. Validation through research, including benchtop, ex-vivo and in-vivo porcine and cadaver studies, has poised this technology for clinical trials and eventual Food and Drug Administration approval. These studies confirm the ability to elicit clinically significant muscle responses using non-invasive neurostimulation, creating a solution that addresses the root cause of collapse in OSA patients.
This award reflects NSF's statutory mission and has been deemed worthy of support through evaluation using the Foundation's intellectual merit and broader impacts review criteria.</t>
        </is>
      </c>
      <c r="AJ70" s="23" t="inlineStr">
        <is>
          <t>&lt;div class="porColContainerWBG"&gt;
&lt;div class="porContentCol"&gt;&lt;p&gt;This project  leveraged the NSF I&amp;#8209;Corps framework as an applied, hypothesis&amp;#8209;driven research method to interrogate the translational potential of a novel neurostimulation platform for obstructive sleep apnea (OSA). The work focused on systematic customer discovery as an empirical process for refining problem definition, target populations, and value propositions in a complex, multi&amp;#8209;stakeholder clinical domain. Over the award period, the team conducted 136 semi&amp;#8209;structured interviews with patients, sleep physicians, otolaryngologists, dental sleep medicine providers, sleep technologists, payers, health&amp;#8209;system administrators, and industry strategics. These data were iteratively mapped onto and used to revise a series of business&amp;#8209;model canvases to define customer segments in OSA care.&lt;/p&gt;
&lt;div&gt;&lt;/div&gt;
&lt;div&gt;The principal outcome was a more rigorous, evidence&amp;#8209;based characterization of the problem space surrounding CPAP&amp;#8209;intolerant and therapy&amp;#8209;refractory OSA, including clearer delineation of early&amp;#8209;adopter segments (e.g., OSA patients who are ineligible for or decline surgical and implantable interventions, managed within integrated sleep and dental pathways), and an explicit set of clinical, economic, and workflow constraints that any prospective therapy must satisfy. These insights translate into a testable translational roadmap: prioritized research questions, candidate indications, and study designs aligned with stakeholder&amp;#8209;defined endpoints and adoption thresholds.&lt;/div&gt;
&lt;div&gt;&lt;/div&gt;
&lt;div&gt;In terms of broader impacts, the project functioned as a training vehicle in evidence&amp;#8209;based commercialization for scientists and engineers, embedding I&amp;#8209;Corps methods (hypothesis formulation, structured interviewing, rapid synthesis, and model iteration) into the professional practice of the team. The resulting venture formation, successful external financing, and creation of new STEM roles are downstream manifestations of that training, but the more generalizable contribution is methodological: a documented use case of I&amp;#8209;Corps as an academic tool for systematically de&amp;#8209;risking deep&amp;#8209;technology interventions in regulated health&amp;#8209;care environments. These methods and findings are now being transmitted to students and early&amp;#8209;career investigators through mentoring and educational activities, thereby extending the project's impact on the broader ecosystem of medtech innovation and translational research.&lt;/div&gt;
&lt;p&gt;&amp;nbsp;&lt;/p&gt;&lt;br&gt;
&lt;p&gt;
 Last Modified: 03/09/2026&lt;br&gt;
Modified by: Youseph&amp;nbsp;Yazdi&lt;/p&gt;&lt;/div&gt;
&lt;div class="porSideCol"
&gt;&lt;/div&gt;
&lt;/div&gt;</t>
        </is>
      </c>
    </row>
    <row r="71" ht="18" customHeight="1">
      <c r="A71" s="25" t="inlineStr">
        <is>
          <t>2242590</t>
        </is>
      </c>
      <c r="B71" s="26" t="inlineStr">
        <is>
          <t>Rapid, Scalable, and Joint Assessment of Seismic Multi-Hazards and Impacts: From Satellite Images to Causality-Informed Deep Bayesian Networks</t>
        </is>
      </c>
      <c r="C71" s="25" t="inlineStr">
        <is>
          <t>Standard Grant</t>
        </is>
      </c>
      <c r="D71" s="25" t="inlineStr">
        <is>
          <t>false</t>
        </is>
      </c>
      <c r="E71" s="25" t="inlineStr">
        <is>
          <t>01/04/2024</t>
        </is>
      </c>
      <c r="F71" s="25" t="inlineStr">
        <is>
          <t>01/01/2024</t>
        </is>
      </c>
      <c r="G71" s="25" t="inlineStr">
        <is>
          <t>12/31/2025</t>
        </is>
      </c>
      <c r="H71" s="25" t="inlineStr">
        <is>
          <t>2024</t>
        </is>
      </c>
      <c r="I71" s="27" t="n">
        <v>391951</v>
      </c>
      <c r="J71" s="27" t="n">
        <v>391951</v>
      </c>
      <c r="K71" s="25" t="inlineStr">
        <is>
          <t>SUSU</t>
        </is>
      </c>
      <c r="L71" s="25" t="inlineStr">
        <is>
          <t>XU</t>
        </is>
      </c>
      <c r="M71" s="25" t="inlineStr">
        <is>
          <t>sxu83@jhu.edu</t>
        </is>
      </c>
      <c r="N71" s="25" t="inlineStr">
        <is>
          <t>Hae Young Noh noh@stanford.edu</t>
        </is>
      </c>
      <c r="O71" s="25" t="inlineStr">
        <is>
          <t>SUSU XU</t>
        </is>
      </c>
      <c r="P71" s="25" t="inlineStr">
        <is>
          <t>Giovanna Biscontin</t>
        </is>
      </c>
      <c r="Q71" s="25" t="inlineStr">
        <is>
          <t>gibiscon@nsf.gov</t>
        </is>
      </c>
      <c r="R71" s="25" t="inlineStr">
        <is>
          <t>THE JOHNS HOPKINS UNIVERSITY</t>
        </is>
      </c>
      <c r="S71" s="25" t="inlineStr">
        <is>
          <t>BALTIMORE</t>
        </is>
      </c>
      <c r="T71" s="25" t="inlineStr">
        <is>
          <t>MD</t>
        </is>
      </c>
      <c r="U71" s="25" t="inlineStr">
        <is>
          <t>212182608</t>
        </is>
      </c>
      <c r="V71" s="25" t="inlineStr">
        <is>
          <t>FTMTDMBR29C7</t>
        </is>
      </c>
      <c r="W71" s="25" t="inlineStr">
        <is>
          <t>Baltimore</t>
        </is>
      </c>
      <c r="X71" s="25" t="inlineStr">
        <is>
          <t>MD</t>
        </is>
      </c>
      <c r="Y71" s="25" t="inlineStr">
        <is>
          <t>ENG</t>
        </is>
      </c>
      <c r="Z71" s="25" t="inlineStr">
        <is>
          <t>CMMI</t>
        </is>
      </c>
      <c r="AA71" s="26" t="inlineStr">
        <is>
          <t>DRRG-Disaster Resilience Res G</t>
        </is>
      </c>
      <c r="AB71" s="25" t="inlineStr">
        <is>
          <t>HAZARD AND DISASTER REDUCTION, EARTHQUAKE ENGINEERING, NATIONL EARTHQK HZRD REDCT PRG, WOMEN, MINORITY, DISABLED, NEC</t>
        </is>
      </c>
      <c r="AC71" s="25" t="inlineStr">
        <is>
          <t>198Y00</t>
        </is>
      </c>
      <c r="AD71" s="25" t="inlineStr">
        <is>
          <t>041E, 043E, 1576, 9102</t>
        </is>
      </c>
      <c r="AE71" s="25" t="inlineStr">
        <is>
          <t>47.041</t>
        </is>
      </c>
      <c r="AF71" s="25" t="inlineStr">
        <is>
          <t>1</t>
        </is>
      </c>
      <c r="AG71" s="25" t="inlineStr">
        <is>
          <t>01/04/2024</t>
        </is>
      </c>
      <c r="AH71" s="25" t="inlineStr">
        <is>
          <t>01/04/2024</t>
        </is>
      </c>
      <c r="AI71" s="26" t="inlineStr">
        <is>
          <t>A seismic event often involves multiple hazards (e.g., ground shaking, landslide, and liquefaction) and impacts (e.g., building and infrastructure damage). Understanding the locations and extents of such hazards and impacts in high resolution immediately after an event is critical for facilitating real-time responses, such as timely evacuation, search and rescue, and effective allocations of limited resources.  Researchers have been investigating using satellite imageries to extract hazard and impact information for wide affected areas; however, the co-occurrence and co-location of hazards and impacts result in mixed signals in satellite imagery, making it very challenging to directly categorize and estimate each hazard and associated impacts. This Disaster Resilience Research Grants (DRRG) project aims to develop a novel system to provide rapid, scalable, and joint assessments of cascading seismic hazards and impacts by leveraging the causal dependencies among them. It will enhance the accuracy, resolution, and timeliness of existing rapid disaster information systems by integrating satellite images with existing geospatial hazard models from The US Geological Survey and building fragility functions from the Federal Emergency Management Agency’s HAZUS tool. The revealed regional causal mechanisms aims to enable improved seismic risk analysis as well as the study of other natural disasters involving cascading impacts. This will improve overall community resilience to future natural disasters.
This project will develop a causality-informed variational Bayesian network modeling framework to adaptively provide regional-scale seismic multi-hazard and impact occurrence estimates in near-real-time, by fusing information from satellite images with prior geophysical knowledge and building fragility functions through a deep causal Bayesian network. First, a novel paradigm will be established to model complex and implicit causal dependencies among cascading seismic multi-hazards and impacts as a flow-based causal Bayesian network to integrate information from prior hazards and impact models with mixed-signal satellite imagery. Further, an online variational Bayesian inference framework will be developed to jointly infer and update, in a scalable and efficient manner, the estimations of seismic multi-hazards and impacts, with or without partially observed ground truth. Third, local geospatial hazards model and building fragility functions will be updated through a novel uncertainty-aware prior model updating scheme using the event-specific patterns learned from the causal Bayesian network. The quantitative causal mechanisms of cascading seismic hazards and building damage, revealed by the causal Bayesian network, will be characterized in multiple earthquake events, to render an in-depth understanding of event-specific seismic hazards and damage patterns for improving regional resilience to future disaster events. The framework will be demonstrated on seven moderate-to-large global earthquake events.
This award reflects NSF's statutory mission and has been deemed worthy of support through evaluation using the Foundation's intellectual merit and broader impacts review criteria.</t>
        </is>
      </c>
      <c r="AJ71" s="26" t="inlineStr"/>
    </row>
    <row r="72" ht="18" customHeight="1">
      <c r="A72" s="22" t="inlineStr">
        <is>
          <t>2411207</t>
        </is>
      </c>
      <c r="B72" s="23" t="inlineStr">
        <is>
          <t>Collaborative Research: SaTC: CORE: Small: Secure and Robust Machine Learning in Multi-Tenant Cloud FPGA</t>
        </is>
      </c>
      <c r="C72" s="22" t="inlineStr">
        <is>
          <t>Standard Grant</t>
        </is>
      </c>
      <c r="D72" s="22" t="inlineStr">
        <is>
          <t>false</t>
        </is>
      </c>
      <c r="E72" s="22" t="inlineStr">
        <is>
          <t>03/19/2024</t>
        </is>
      </c>
      <c r="F72" s="22" t="inlineStr">
        <is>
          <t>10/01/2023</t>
        </is>
      </c>
      <c r="G72" s="22" t="inlineStr">
        <is>
          <t>11/30/2024</t>
        </is>
      </c>
      <c r="H72" s="22" t="inlineStr">
        <is>
          <t>2024</t>
        </is>
      </c>
      <c r="I72" s="24" t="n">
        <v>250000</v>
      </c>
      <c r="J72" s="24" t="n">
        <v>250000</v>
      </c>
      <c r="K72" s="22" t="inlineStr">
        <is>
          <t>Deliang</t>
        </is>
      </c>
      <c r="L72" s="22" t="inlineStr">
        <is>
          <t>Fan</t>
        </is>
      </c>
      <c r="M72" s="22" t="inlineStr">
        <is>
          <t>dfan@asu.edu</t>
        </is>
      </c>
      <c r="N72" s="22" t="inlineStr"/>
      <c r="O72" s="22" t="inlineStr">
        <is>
          <t>Deliang Fan</t>
        </is>
      </c>
      <c r="P72" s="22" t="inlineStr">
        <is>
          <t>Xiaogang (Cliff)  Wang</t>
        </is>
      </c>
      <c r="Q72" s="22" t="inlineStr">
        <is>
          <t>xiawang@nsf.gov</t>
        </is>
      </c>
      <c r="R72" s="22" t="inlineStr">
        <is>
          <t>THE JOHNS HOPKINS UNIVERSITY</t>
        </is>
      </c>
      <c r="S72" s="22" t="inlineStr">
        <is>
          <t>BALTIMORE</t>
        </is>
      </c>
      <c r="T72" s="22" t="inlineStr">
        <is>
          <t>MD</t>
        </is>
      </c>
      <c r="U72" s="22" t="inlineStr">
        <is>
          <t>212182608</t>
        </is>
      </c>
      <c r="V72" s="22" t="inlineStr">
        <is>
          <t>FTMTDMBR29C7</t>
        </is>
      </c>
      <c r="W72" s="22" t="inlineStr">
        <is>
          <t>BALTIMORE</t>
        </is>
      </c>
      <c r="X72" s="22" t="inlineStr">
        <is>
          <t>MD</t>
        </is>
      </c>
      <c r="Y72" s="22" t="inlineStr">
        <is>
          <t>CSE</t>
        </is>
      </c>
      <c r="Z72" s="22" t="inlineStr">
        <is>
          <t>CNS</t>
        </is>
      </c>
      <c r="AA72" s="23" t="inlineStr">
        <is>
          <t>Secure &amp;Trustworthy Cyberspace</t>
        </is>
      </c>
      <c r="AB72" s="22" t="inlineStr">
        <is>
          <t>SaTC: Secure and Trustworthy Cyberspace, SMALL PROJECT</t>
        </is>
      </c>
      <c r="AC72" s="22" t="inlineStr">
        <is>
          <t>806000</t>
        </is>
      </c>
      <c r="AD72" s="22" t="inlineStr">
        <is>
          <t>025Z, 7923</t>
        </is>
      </c>
      <c r="AE72" s="22" t="inlineStr">
        <is>
          <t>47.070</t>
        </is>
      </c>
      <c r="AF72" s="22" t="inlineStr">
        <is>
          <t>1</t>
        </is>
      </c>
      <c r="AG72" s="22" t="inlineStr">
        <is>
          <t>03/19/2024</t>
        </is>
      </c>
      <c r="AH72" s="22" t="inlineStr">
        <is>
          <t>03/19/2024</t>
        </is>
      </c>
      <c r="AI72" s="23" t="inlineStr">
        <is>
          <t>Alongside the rapid growth of cloud-computing market and critical developments in machine learning (ML) computation, the cloud-FPGA (Field Programmable Gate Arrays) has become a vital hardware resource for public lease, where multiple tenants can co-reside and share an FPGA chip over time or even simultaneously. With many hardware resources being jointly used in the multi-tenant cloud-FPGA environment, a unique attack surface is created, where a malicious tenant can leverage such indirect interaction to manipulate the circuit application of other tenants, e.g., intentionally injecting faults. It has been demonstrated in prior research that small, but carefully designed, perturbation of the ML model parameter transmission between off-chip memory and on-chip buffer could completely malfunction ML intelligence, even under black-box attack scenario, posing an unprecedented threat to future ML cloud-FPGA system. This project (1) targets to understand the vulnerability of multi-tenant ML cloud-FPGA systems and explore defensive approaches, which are crucial and timely for both industry and academia in the cloud-FPGA computing domain; (2) advances the security of ML cloud system against hardware-based model tampering on off-chip data transmission in multi-tenant cloud-FPGA computing infrastructure; and (3) integrates the research outcomes with education in terms of new curriculum development, undergraduate and graduate student training, as well as promoting women and underrepresented minorities in STEM through K-12 outreach programs. 
This project integrates ML algorithm security and FPGA hardware security to follow a software-hardware co-design mechanism, exploring novel solutions that improve the security of multi-tenant ML cloud-FPGA system. It consists of three research thrusts. Thrust-1 systematically studies, models, and characterizes an adversarial weight duplication hardware fault injection method, which leverages aggressive power-plundering circuits in malicious tenant to inject fault into the victim tenant's ML model. Thrust-2 explores various ML algorithmic methodologies to enhance the intrinsic robustness and resiliency of ML model against adversarial fault injection into model parameters during the transmission from off-chip memory to on-chip buffer. Thrust-3 investigates FPGA system-level tamper-resistant approaches to further provide comprehensive solutions to improve the ML-FPGA system security.
This award reflects NSF's statutory mission and has been deemed worthy of support through evaluation using the Foundation's intellectual merit and broader impacts review criteria.</t>
        </is>
      </c>
      <c r="AJ72" s="23" t="inlineStr"/>
    </row>
    <row r="73" ht="18" customHeight="1">
      <c r="A73" s="25" t="inlineStr">
        <is>
          <t>2436298</t>
        </is>
      </c>
      <c r="B73" s="26" t="inlineStr">
        <is>
          <t>Collaborative Research: Direct Lending in the U.S. Middle Market</t>
        </is>
      </c>
      <c r="C73" s="25" t="inlineStr">
        <is>
          <t>Standard Grant</t>
        </is>
      </c>
      <c r="D73" s="25" t="inlineStr">
        <is>
          <t>false</t>
        </is>
      </c>
      <c r="E73" s="25" t="inlineStr">
        <is>
          <t>06/21/2024</t>
        </is>
      </c>
      <c r="F73" s="25" t="inlineStr">
        <is>
          <t>10/01/2023</t>
        </is>
      </c>
      <c r="G73" s="25" t="inlineStr">
        <is>
          <t>07/31/2025</t>
        </is>
      </c>
      <c r="H73" s="25" t="inlineStr">
        <is>
          <t>2024</t>
        </is>
      </c>
      <c r="I73" s="27" t="n">
        <v>84112</v>
      </c>
      <c r="J73" s="27" t="n">
        <v>267999</v>
      </c>
      <c r="K73" s="25" t="inlineStr">
        <is>
          <t>Tetiana</t>
        </is>
      </c>
      <c r="L73" s="25" t="inlineStr">
        <is>
          <t>Davydiuk</t>
        </is>
      </c>
      <c r="M73" s="25" t="inlineStr">
        <is>
          <t>tetianad@andrew.cmu.edu</t>
        </is>
      </c>
      <c r="N73" s="25" t="inlineStr"/>
      <c r="O73" s="25" t="inlineStr">
        <is>
          <t>Tetiana Davydiuk</t>
        </is>
      </c>
      <c r="P73" s="25" t="inlineStr">
        <is>
          <t>Nancy Lutz</t>
        </is>
      </c>
      <c r="Q73" s="25" t="inlineStr">
        <is>
          <t>nlutz@nsf.gov</t>
        </is>
      </c>
      <c r="R73" s="25" t="inlineStr">
        <is>
          <t>THE JOHNS HOPKINS UNIVERSITY</t>
        </is>
      </c>
      <c r="S73" s="25" t="inlineStr">
        <is>
          <t>BALTIMORE</t>
        </is>
      </c>
      <c r="T73" s="25" t="inlineStr">
        <is>
          <t>MD</t>
        </is>
      </c>
      <c r="U73" s="25" t="inlineStr">
        <is>
          <t>212182608</t>
        </is>
      </c>
      <c r="V73" s="25" t="inlineStr">
        <is>
          <t>FTMTDMBR29C7</t>
        </is>
      </c>
      <c r="W73" s="25" t="inlineStr">
        <is>
          <t>BALTIMORE</t>
        </is>
      </c>
      <c r="X73" s="25" t="inlineStr">
        <is>
          <t>MD</t>
        </is>
      </c>
      <c r="Y73" s="25" t="inlineStr">
        <is>
          <t>SBE</t>
        </is>
      </c>
      <c r="Z73" s="25" t="inlineStr">
        <is>
          <t>SES</t>
        </is>
      </c>
      <c r="AA73" s="26" t="inlineStr">
        <is>
          <t>Economics</t>
        </is>
      </c>
      <c r="AB73" s="25" t="inlineStr">
        <is>
          <t>GRADUATE INVOLVEMENT</t>
        </is>
      </c>
      <c r="AC73" s="25" t="inlineStr">
        <is>
          <t>132000</t>
        </is>
      </c>
      <c r="AD73" s="25" t="inlineStr">
        <is>
          <t>9179</t>
        </is>
      </c>
      <c r="AE73" s="25" t="inlineStr">
        <is>
          <t>47.075</t>
        </is>
      </c>
      <c r="AF73" s="25" t="inlineStr">
        <is>
          <t>1</t>
        </is>
      </c>
      <c r="AG73" s="25" t="inlineStr">
        <is>
          <t>06/21/2024</t>
        </is>
      </c>
      <c r="AH73" s="25" t="inlineStr">
        <is>
          <t>06/21/2024</t>
        </is>
      </c>
      <c r="AI73" s="26" t="inlineStr">
        <is>
          <t>Abstract
The tightening of regulation in the U.S. banking sector following the Financial Crisis of 2008 contributed to a surge of alternative nonbank lenders and, in particular, business development companies (BDCs). This sector has expanded rapidly over the last two decades. This project will construct an extensive database and conduct the first systematic analysis of the BDC sector. The project will focus on these new lenders and provide insights into an important yet understudied segment of the U.S. economy - the middle market, which accounts for a third of private-sector employment. Specifically, the project will investigate the impact of nonbank lending on middle-market firms and economic growth. Overall, the project will have important policy implications for the role of financial intermediation in the economy.
By constructing a novel database, this project will advance the body of knowledge on nonbank lending. First, the project will investigate the causes of the BDC sector growth and analyze their role in financing middle-market firms. The granularity of the dataset will additionally allow to characterize the borrowers targeted and lending solutions offered. Second, the project will use the location information of BDC portfolio companies to estimate the real effects of these direct lenders on middle-market firms and, more broadly, on local economic growth. Third, the project will investigate how access to capital markets affects investment activities of direct lenders. Finally, since BDCs provide funding to firms without relying on deposit insurance, they put forward a new lending model that may offer an improvement to the current deposit-based banking system. To understand the effects of this alternative lending mechanism, the project will develop a quantitative framework to conduct a welfare analysis of transitioning to a new lending environment.
This award reflects NSF's statutory mission and has been deemed worthy of support through evaluation using the Foundation's intellectual merit and broader impacts review criteria.</t>
        </is>
      </c>
      <c r="AJ73" s="26" t="inlineStr">
        <is>
          <t>&lt;div class="porColContainerWBG"&gt;
&lt;div class="porContentCol"&gt;&lt;p&gt;This project studies the rise of direct lenders - nonbank financial institutions that provide loans to middle-market firms - and their growing role in the U.S. financial system. We specifically focus on Business Development Companies (BDCs) and hand-collect detailed data on their investments. Using this novel dataset, the project provides the first systematic analysis of how BDCs operate, manage risk, and affect financial stability. We wrote four significant papers, two of which are published in leading academic journals, and an op-ed to convey the project's policy implications. Together, these contributions establish direct lending as a distinct and policy-relevant area within modern financial economics. Our project has catalyzed a broader academic agenda on the structure and stability of private credit markets with numerous follow-on studies building directly on our findings.&lt;/p&gt;
&lt;p&gt;In the paper "Direct Lenders in the U.S. Middle Market" (Journal of Financial Economics, 2024), we show that BDC capital acts as a substitute for traditional financing. To this end, we exploit three exogenous shocks to credit supply, including new banking regulations and a major finance company collapse. Using firm-level data, we further document that firms' access to BDC funding has stimulated their employment growth and patenting activity. Beyond credit provision, BDCs contribute to firm growth through managerial assistance.&amp;nbsp;&lt;/p&gt;
&lt;p&gt;The paper "Market Discipline in the Direct Lending Space" (Review of Financial Studies, 2024) studies the&amp;nbsp;effectiveness&amp;nbsp;of market discipline in the direct lending space using the exclusion of BDCs from stock indexes for identification. We document that, amid share sell-offs by institutional investors, a drop in BDCs'&amp;nbsp;valuations limits their ability to raise new equity capital. Following this funding shock, BDCs do&amp;nbsp;not adjust their capital structure while reducing the risk exposure of their portfolios. We document a greater reduction in risk for BDCs subject to stronger market discipline from their debtholders. BDCs pass through the capital shock to their portfolio firms by reducing their investment intensity.&amp;nbsp;&lt;/p&gt;
&lt;p&gt;The project's findings have directly informed public debate and policymaking on credit access and financial stability. A June 2024 op-ed in&amp;nbsp;&lt;em&gt;American Banker&lt;/em&gt;&amp;nbsp;summarized the research and helped inform Congressional deliberations on the&amp;nbsp;&lt;em&gt;Access to Small Business Investor Capital Act (H.R. 1379)&lt;/em&gt;, which passed the U.S. House of Representatives in 2025. A related white paper,&amp;nbsp;&lt;em&gt;Direct Lenders and Financial Stability&lt;/em&gt;, was cited in a Federal Reserve&amp;nbsp;&lt;em&gt;FEDS Note&lt;/em&gt;&amp;nbsp;and presented to the U.S. Treasury's Office of Financial Research. In October 2025, the project's work was also cited in a Federal Reserve&amp;nbsp;&lt;em&gt;Federal Register&lt;/em&gt;&amp;nbsp;notice on improving the design of supervisory stress tests, reflecting its broader relevance to regulatory transparency and systemic-risk monitoring.&lt;strong&gt;&amp;nbsp;&lt;/strong&gt;&lt;/p&gt;
&lt;p&gt;Overall, this NSF-supported research has advanced both academic and policy understanding of how direct lenders shape credit flows in the U.S. economy. It highlights the importance of private credit markets for small and medium-sized firms and contributes to policies that promote small-business growth, innovation, and financial stability.&lt;strong&gt;&amp;nbsp;&lt;/strong&gt;&lt;/p&gt;
&lt;p&gt;&amp;nbsp;&lt;/p&gt;
&lt;p&gt;&amp;nbsp;&lt;/p&gt;&lt;br&gt;
&lt;p&gt;
 Last Modified: 11/24/2025&lt;br&gt;
Modified by: Tetiana&amp;nbsp;Davydiuk&lt;/p&gt;&lt;/div&gt;
&lt;div class="porSideCol"
&gt;&lt;/div&gt;
&lt;/div&gt;</t>
        </is>
      </c>
    </row>
    <row r="74" ht="18" customHeight="1">
      <c r="A74" s="22" t="inlineStr">
        <is>
          <t>2414603</t>
        </is>
      </c>
      <c r="B74" s="23" t="inlineStr">
        <is>
          <t>Collaborative Research: FuSe: Efficient Situation-Aware AI Processing in Advanced 2-Terminal SOT-MRAM</t>
        </is>
      </c>
      <c r="C74" s="22" t="inlineStr">
        <is>
          <t>Continuing Grant</t>
        </is>
      </c>
      <c r="D74" s="22" t="inlineStr">
        <is>
          <t>false</t>
        </is>
      </c>
      <c r="E74" s="22" t="inlineStr">
        <is>
          <t>02/16/2024</t>
        </is>
      </c>
      <c r="F74" s="22" t="inlineStr">
        <is>
          <t>10/01/2023</t>
        </is>
      </c>
      <c r="G74" s="22" t="inlineStr">
        <is>
          <t>12/31/2024</t>
        </is>
      </c>
      <c r="H74" s="22" t="inlineStr">
        <is>
          <t>2024</t>
        </is>
      </c>
      <c r="I74" s="24" t="n">
        <v>630000</v>
      </c>
      <c r="J74" s="24" t="n">
        <v>700000</v>
      </c>
      <c r="K74" s="22" t="inlineStr">
        <is>
          <t>Deliang</t>
        </is>
      </c>
      <c r="L74" s="22" t="inlineStr">
        <is>
          <t>Fan</t>
        </is>
      </c>
      <c r="M74" s="22" t="inlineStr">
        <is>
          <t>dfan@asu.edu</t>
        </is>
      </c>
      <c r="N74" s="22" t="inlineStr"/>
      <c r="O74" s="22" t="inlineStr">
        <is>
          <t>Deliang Fan</t>
        </is>
      </c>
      <c r="P74" s="22" t="inlineStr">
        <is>
          <t>Sankar Basu</t>
        </is>
      </c>
      <c r="Q74" s="22" t="inlineStr">
        <is>
          <t>sabasu@nsf.gov</t>
        </is>
      </c>
      <c r="R74" s="22" t="inlineStr">
        <is>
          <t>THE JOHNS HOPKINS UNIVERSITY</t>
        </is>
      </c>
      <c r="S74" s="22" t="inlineStr">
        <is>
          <t>BALTIMORE</t>
        </is>
      </c>
      <c r="T74" s="22" t="inlineStr">
        <is>
          <t>MD</t>
        </is>
      </c>
      <c r="U74" s="22" t="inlineStr">
        <is>
          <t>212182608</t>
        </is>
      </c>
      <c r="V74" s="22" t="inlineStr">
        <is>
          <t>FTMTDMBR29C7</t>
        </is>
      </c>
      <c r="W74" s="22" t="inlineStr">
        <is>
          <t>BALTIMORE</t>
        </is>
      </c>
      <c r="X74" s="22" t="inlineStr">
        <is>
          <t>MD</t>
        </is>
      </c>
      <c r="Y74" s="22" t="inlineStr">
        <is>
          <t>CSE</t>
        </is>
      </c>
      <c r="Z74" s="22" t="inlineStr">
        <is>
          <t>CCF</t>
        </is>
      </c>
      <c r="AA74" s="23" t="inlineStr">
        <is>
          <t>FuSe-Future of Semiconductors, NSF-Intel Semiconductr Partnrs, NSF-Samsung Partnership</t>
        </is>
      </c>
      <c r="AB74" s="22" t="inlineStr">
        <is>
          <t>DES AUTO FOR MICRO &amp; NANO SYST</t>
        </is>
      </c>
      <c r="AC74" s="22" t="inlineStr">
        <is>
          <t>216Y00, 241Y00, 254Y00</t>
        </is>
      </c>
      <c r="AD74" s="22" t="inlineStr">
        <is>
          <t>7945</t>
        </is>
      </c>
      <c r="AE74" s="22" t="inlineStr">
        <is>
          <t>47.070, 47.084</t>
        </is>
      </c>
      <c r="AF74" s="22" t="inlineStr">
        <is>
          <t>1</t>
        </is>
      </c>
      <c r="AG74" s="22" t="inlineStr">
        <is>
          <t>02/16/2024</t>
        </is>
      </c>
      <c r="AH74" s="22" t="inlineStr">
        <is>
          <t>09/13/2024</t>
        </is>
      </c>
      <c r="AI74" s="23" t="inlineStr">
        <is>
          <t>The amount of data required to be analyzed by computing systems has been increasing drastically to exascale (i.e., billions of gigabytes) and beyond. Meanwhile, owing to the boom in artificial intelligence (AI), especially Deep Neural Network (DNN), there is a need for high performance, efficient, fast, and adaptive AI-based big data processing systems. However, those requirements are not sufficiently met by existing computing solutions due to the power-wall in silicon-based semiconductor devices, memory-wall in traditional Von-Neuman computing architecture, and ultra computation- and memory-intensive DNN-based AI algorithms. This project brings together an interdisciplinary group of researchers, with expertise spanning from material science, device fabrication, integrated circuit design, computer architecture, and AI algorithms to undertake innovative device-circuit-algorithm co-design for developing an AI Processing-In-Memory (AI-PIM) system that could leverage the emerging non-volatile magnetic memory technology to implement efficient AI data processing, as well as situation-aware on-chip continual learning. This project targets to significantly improve the AI data processing energy efficiency, with 100X higher efficiency than that of state-of-the-art Graph Processing Units (GPUs). The project will greatly benefit various application areas, such as autonomous driving, robotics, personalized cognitive speech, and smart connected health, etc. This project will also involve education and workforce development activities, including K-12 STEM outreach, undergraduate/graduate training, curriculum development in semiconductor, semiconductor industry internship mentoring, cleanroom fab internships, advance integrated circuit design courses. It will also encourage broader participation of female and under-represented minorities in the microelectronics and semiconductor chip industry. 
This project will advance knowledge and conduct cross-layer research spanning from emerging Spin-Orbit Torque Magnetic Random Access Memory (SOT-MRAM) material, device, circuit, architecture, to AI algorithm exploration with three main interweaved thrusts. Thrust 1 will explore unconventional spins in SOT materials, e.g., MnPd3, and novel device geometry to fabricate a new design of 2-terminal SOT-MRAM, which simultaneously delivers unlimited endurance, nano-seconds programming time, very high cell density, deterministic programming without external magnetic field, zero leakage, and non-volatility. Leveraging the developed 2-terminal SOT-MRAM, Thrust 2 will design and tape-out an AI Processing-in-Memory (PIM) chip to implement fully digital ‘in-memory sparse multiplication-and-accumulation (MAC)’ operations that support both forward and backward computations of neural networks. Following a co-design methodology, Thrust 3 will first investigate automated network architecture search methods to construct AI model best suitable for given situation while considering our AI-PIM system constraint. This thrust will further develop novel PIM-friendly, compute- and memory-efficient, situation-aware continual learning algorithms that could minimize the power-hungry on-chip weight update (i.e., memory write) complexity, while learning new situation- and user-specific data.
This award reflects NSF's statutory mission and has been deemed worthy of support through evaluation using the Foundation's intellectual merit and broader impacts review criteria.</t>
        </is>
      </c>
      <c r="AJ74" s="23" t="inlineStr"/>
    </row>
    <row r="75" ht="18" customHeight="1">
      <c r="A75" s="25" t="inlineStr">
        <is>
          <t>2403963</t>
        </is>
      </c>
      <c r="B75" s="26" t="inlineStr">
        <is>
          <t>CAREER:The Impact of Racialized Experiences on the Career Trajectories of Doctoral and Postdoctoral Underrepresented STEM Students of Color</t>
        </is>
      </c>
      <c r="C75" s="25" t="inlineStr">
        <is>
          <t>Continuing Grant</t>
        </is>
      </c>
      <c r="D75" s="25" t="inlineStr">
        <is>
          <t>false</t>
        </is>
      </c>
      <c r="E75" s="25" t="inlineStr">
        <is>
          <t>01/19/2024</t>
        </is>
      </c>
      <c r="F75" s="25" t="inlineStr">
        <is>
          <t>10/01/2023</t>
        </is>
      </c>
      <c r="G75" s="25" t="inlineStr">
        <is>
          <t>06/30/2024</t>
        </is>
      </c>
      <c r="H75" s="25" t="inlineStr">
        <is>
          <t>2024</t>
        </is>
      </c>
      <c r="I75" s="27" t="n">
        <v>228484</v>
      </c>
      <c r="J75" s="27" t="n">
        <v>1083351</v>
      </c>
      <c r="K75" s="25" t="inlineStr">
        <is>
          <t>Ebony</t>
        </is>
      </c>
      <c r="L75" s="25" t="inlineStr">
        <is>
          <t>McGee</t>
        </is>
      </c>
      <c r="M75" s="25" t="inlineStr">
        <is>
          <t>ebony.mcgee@jhu.edu</t>
        </is>
      </c>
      <c r="N75" s="25" t="inlineStr"/>
      <c r="O75" s="25" t="inlineStr">
        <is>
          <t>Ebony O McGee</t>
        </is>
      </c>
      <c r="P75" s="25" t="inlineStr">
        <is>
          <t>Andrea Nixon</t>
        </is>
      </c>
      <c r="Q75" s="25" t="inlineStr">
        <is>
          <t>anixon@nsf.gov</t>
        </is>
      </c>
      <c r="R75" s="25" t="inlineStr">
        <is>
          <t>THE JOHNS HOPKINS UNIVERSITY</t>
        </is>
      </c>
      <c r="S75" s="25" t="inlineStr">
        <is>
          <t>BALTIMORE</t>
        </is>
      </c>
      <c r="T75" s="25" t="inlineStr">
        <is>
          <t>MD</t>
        </is>
      </c>
      <c r="U75" s="25" t="inlineStr">
        <is>
          <t>212182608</t>
        </is>
      </c>
      <c r="V75" s="25" t="inlineStr">
        <is>
          <t>FTMTDMBR29C7</t>
        </is>
      </c>
      <c r="W75" s="25" t="inlineStr">
        <is>
          <t>BALTIMORE</t>
        </is>
      </c>
      <c r="X75" s="25" t="inlineStr">
        <is>
          <t>MD</t>
        </is>
      </c>
      <c r="Y75" s="25" t="inlineStr">
        <is>
          <t>EDU</t>
        </is>
      </c>
      <c r="Z75" s="25" t="inlineStr">
        <is>
          <t>DGE</t>
        </is>
      </c>
      <c r="AA75" s="26" t="inlineStr">
        <is>
          <t>ECR-EDU Core Research</t>
        </is>
      </c>
      <c r="AB75" s="25" t="inlineStr">
        <is>
          <t>EAGER, CAREER-Faculty Erly Career Dev, GSE: Research on Gender in S&amp;E, Broaden Particip STEM Resrch</t>
        </is>
      </c>
      <c r="AC75" s="25" t="inlineStr">
        <is>
          <t>798000</t>
        </is>
      </c>
      <c r="AD75" s="25" t="inlineStr">
        <is>
          <t>7916, 1045, 1544, 8212</t>
        </is>
      </c>
      <c r="AE75" s="25" t="inlineStr">
        <is>
          <t>47.076</t>
        </is>
      </c>
      <c r="AF75" s="25" t="inlineStr">
        <is>
          <t>1</t>
        </is>
      </c>
      <c r="AG75" s="25" t="inlineStr">
        <is>
          <t>01/19/2024</t>
        </is>
      </c>
      <c r="AH75" s="25" t="inlineStr">
        <is>
          <t>01/19/2024</t>
        </is>
      </c>
      <c r="AI75" s="26" t="inlineStr">
        <is>
          <t>The EHR Core Research program emphasizes fundamental STEM education research that will generate foundational knowledge in the field. This essential research will examine ways to broaden participation in engineering and computing through a multi-tiered research design that studies how race-related bias and microaggressive acts affect the career trajectories of Black, Native American, and Latino/a doctoral students and postdoctoral researchers. The research will examine three main variables in the study population: racial/ethnic microaggressions, impostor syndrome, and minority status stress. The goals are to (1) study the impact of such barriers on the doctoral experiences and post-doctoral career aspirations of students and researchers in engineering and computing, (2) determine whether departments/colleges in these disciplines implement programs that address these barriers, and (3) test the value of mentoring for reducing race-related stressors and of academic career-centric support that might help students and researchers remain in STEM.
A mixed methods research approach will be used to collect data through surveys, interviews, and observations about the mentoring program, annual workshops, and video documentary. The core strategy for measuring change from the intervention will come from the race-focused, academic career-centric mentoring program that will be co-developed using a nationally recognized online mentoring model and information from the proposer?s own online web portal. This mentoring program will test how effectively the model reduces the impact of racial/ethnic microaggressions for Black, Latino/a, and Native American doctoral students and postdoctoral researchers. Outcomes will be multidimensional. First, data will provide a foundation for understanding how to improve the experiences of underrepresented groups in environments that marginalize students of color. Second, the video documentary will serve as a training tool for STEM administrators and leaders. Third, the video documentary will provide research-based coping strategies to help members of the underrepresented population minimize the impact of racialized experiences and negative outcomes while promoting a balanced perspective on both the doctoral completion process and faculty life in engineering and computing. Fourth, the study will offer strategies to make learning in engineering and computing more affirming, thereby leading to the long-term goal of increased interest and eventual transition into the professoriate.</t>
        </is>
      </c>
      <c r="AJ75" s="26" t="inlineStr">
        <is>
          <t>&lt;div class="porColContainerWBG"&gt;
&lt;div class="porContentCol"&gt;&lt;p&gt;&lt;em&gt;Outcomes Report, Public Facing&lt;/em&gt;&lt;/p&gt;
&lt;p&gt;In recent years, the conversation around diversity and inclusion in STEM (science, technology, engineering, and mathematics) has gained significant traction. However, challenges persist, particularly for Black, Native American, and Latino/a doctoral students and postdoctoral researchers who often face unique barriers in their academic journeys. Our grant project, funded through the EHR Core Research program, aims to shed light on these obstacles and explore effective strategies for broadening participation in engineering and computing disciplines.&lt;/p&gt;
&lt;p&gt;&lt;strong&gt;What We Discovered:&lt;/strong&gt;&lt;/p&gt;
&lt;p&gt;&lt;strong&gt;1. Racial Activism Matters&lt;/strong&gt;&lt;/p&gt;
&lt;p&gt;One of our key findings was that racial activism plays a significant role in shaping the career paths of Underrepresented Racially Minoritized (URM) students in STEM. Students actively involved in advocating for racial and social justice were more likely to aspire to faculty positions. This suggests that participation in social justice efforts can be a powerful motivator for URMs pursuing academic careers. Additionally, we found that those experiencing stress related to their minority status often turned to entrepreneurship as a way to navigate the challenges they face.&lt;/p&gt;
&lt;p&gt;&lt;strong&gt;2. Racial Activism Bridges the Gap&lt;/strong&gt;&lt;/p&gt;
&lt;p&gt;We also discovered that racial activism acts as a bridge between race-related stress and career aspirations. In other words, engaging in activism helps URM students make sense of their experiences and encourages them to pursue entrepreneurial opportunities. This highlights the importance of creating environments where students feel empowered to engage in social justice work.&lt;/p&gt;
&lt;p&gt;&lt;strong&gt;3. Collaboration Boosts Success&lt;/strong&gt;&lt;/p&gt;
&lt;p&gt;When we looked at how URM students collaborate on research projects, we found that those who work with a diverse group of co-authors are more productive and have a greater impact in their fields. This &amp;ldquo;Combination&amp;rdquo; strategy&amp;mdash;where researchers collaborate with different people rather than sticking with the same partners&amp;mdash;led to better research outcomes. These findings will help guide mentorship programs that aim to support URM scholars in building effective co-authorship and research networks.&lt;/p&gt;
&lt;p&gt;&lt;strong&gt;4. Measuring Equity with a New Tool&lt;/strong&gt;&lt;/p&gt;
&lt;p&gt;A major achievement of our project was the development of the Equity Ethics Scale. This tool helps measure how people think and act regarding equity in STEM. It includes two key components: Equity Ethos, which reflects a commitment to promoting fairness and justice, and Equity Action, which focuses on the practical steps taken to address inequalities. Validating this scale provides a framework for understanding how equity influences URM experiences and motivations in STEM.&lt;/p&gt;
&lt;p&gt;&lt;strong&gt;Why This Matters&lt;/strong&gt;&lt;/p&gt;
&lt;p&gt;The insights from our research have important implications for universities and policymakers. By recognizing the significance of racial activism and equity, we advocate for creating supportive environments that empower URMs to engage in social and racial justice initiatives. In fact, our findings indicate that encouraging students to leverage their STEM skills to tackle equity issues can inspire URM students and foster their persistence toward academic careers. Additionally, our research provides actionable recommendations for mentorship programs and stresses the need to cultivate diverse networks with various collaborators to enhance the visibility of one&amp;rsquo;s research. This approach not only strengthens their research impact, but also positions URMs more competitively in the STEM workforce.&lt;/p&gt;
&lt;p&gt;&amp;nbsp;&lt;/p&gt;&lt;br&gt;
&lt;p&gt;
 Last Modified: 10/18/2024&lt;br&gt;
Modified by: Ebony&amp;nbsp;O&amp;nbsp;Mcgee&lt;/p&gt;&lt;/div&gt;
&lt;div class="porSideCol"
&gt;&lt;/div&gt;
&lt;/div&gt;</t>
        </is>
      </c>
    </row>
    <row r="76" ht="18" customHeight="1">
      <c r="A76" s="22" t="inlineStr">
        <is>
          <t>2536601</t>
        </is>
      </c>
      <c r="B76" s="23" t="inlineStr">
        <is>
          <t>Collaborative Research: FIRE-WUI: A Convergent Framework for Learning-Based Simulation of Collective Human Behavior in Wildfires</t>
        </is>
      </c>
      <c r="C76" s="22" t="inlineStr">
        <is>
          <t>Standard Grant</t>
        </is>
      </c>
      <c r="D76" s="22" t="inlineStr">
        <is>
          <t>true</t>
        </is>
      </c>
      <c r="E76" s="22" t="inlineStr">
        <is>
          <t>08/22/2025</t>
        </is>
      </c>
      <c r="F76" s="22" t="inlineStr">
        <is>
          <t>12/01/2025</t>
        </is>
      </c>
      <c r="G76" s="22" t="inlineStr">
        <is>
          <t>11/30/2028</t>
        </is>
      </c>
      <c r="H76" s="22" t="inlineStr">
        <is>
          <t>2025</t>
        </is>
      </c>
      <c r="I76" s="24" t="n">
        <v>353457</v>
      </c>
      <c r="J76" s="24" t="n">
        <v>353457</v>
      </c>
      <c r="K76" s="22" t="inlineStr">
        <is>
          <t>SUSU</t>
        </is>
      </c>
      <c r="L76" s="22" t="inlineStr">
        <is>
          <t>XU</t>
        </is>
      </c>
      <c r="M76" s="22" t="inlineStr">
        <is>
          <t>sxu83@jhu.edu</t>
        </is>
      </c>
      <c r="N76" s="22" t="inlineStr"/>
      <c r="O76" s="22" t="inlineStr">
        <is>
          <t>SUSU XU</t>
        </is>
      </c>
      <c r="P76" s="22" t="inlineStr">
        <is>
          <t>Wen-Wen Tung</t>
        </is>
      </c>
      <c r="Q76" s="22" t="inlineStr">
        <is>
          <t>wtung@nsf.gov</t>
        </is>
      </c>
      <c r="R76" s="22" t="inlineStr">
        <is>
          <t>THE JOHNS HOPKINS UNIVERSITY</t>
        </is>
      </c>
      <c r="S76" s="22" t="inlineStr">
        <is>
          <t>BALTIMORE</t>
        </is>
      </c>
      <c r="T76" s="22" t="inlineStr">
        <is>
          <t>MD</t>
        </is>
      </c>
      <c r="U76" s="22" t="inlineStr">
        <is>
          <t>212182608</t>
        </is>
      </c>
      <c r="V76" s="22" t="inlineStr">
        <is>
          <t>FTMTDMBR29C7</t>
        </is>
      </c>
      <c r="W76" s="22" t="inlineStr">
        <is>
          <t>BALTIMORE</t>
        </is>
      </c>
      <c r="X76" s="22" t="inlineStr">
        <is>
          <t>MD</t>
        </is>
      </c>
      <c r="Y76" s="22" t="inlineStr">
        <is>
          <t>GEO</t>
        </is>
      </c>
      <c r="Z76" s="22" t="inlineStr">
        <is>
          <t>RISE</t>
        </is>
      </c>
      <c r="AA76" s="23" t="inlineStr">
        <is>
          <t>Fire Science Innovations</t>
        </is>
      </c>
      <c r="AB76" s="22" t="inlineStr">
        <is>
          <t>Artificial Intelligence (AI), FIRE-Wildland Fire, INTERDISCIPLINARY PROPOSALS</t>
        </is>
      </c>
      <c r="AC76" s="22" t="inlineStr">
        <is>
          <t>345Y00</t>
        </is>
      </c>
      <c r="AD76" s="22" t="inlineStr">
        <is>
          <t>075Z, 132Z, 4444</t>
        </is>
      </c>
      <c r="AE76" s="22" t="inlineStr">
        <is>
          <t>47.041, 47.050</t>
        </is>
      </c>
      <c r="AF76" s="22" t="inlineStr">
        <is>
          <t>1</t>
        </is>
      </c>
      <c r="AG76" s="22" t="inlineStr">
        <is>
          <t>08/22/2025</t>
        </is>
      </c>
      <c r="AH76" s="22" t="inlineStr">
        <is>
          <t>08/22/2025</t>
        </is>
      </c>
      <c r="AI76" s="23" t="inlineStr">
        <is>
          <t>Strengthening wildfire resilience requires accurate modeling and a deep understanding of collective human behavior during wildfire evacuations. In particular, there is a critical need for simulation models that can realistically capture how civilians, incident commanders, and public safety officials make protective action decisions during wildfires. However, existing simulation models face fundamental limitations that often cause low prediction accuracy and insufficient capacity to support effective decision-making during wildfire response. Therefore, this project aims to develop a convergent framework for next-generation wildfire evacuation simulation that features realistic Artificial Intelligence (AI) agents powered by psychological theory-informed large language models (LLMs), reinforcement learning, and multi-modal datasets. This research is a transformative step toward improving the behavioral realism, prediction accuracy, and decision-support capability of wildfire evacuation simulation models. This project will also lead to generalizable simulation methods, promote teaching, training, and learning, strengthen partnerships, and support wildfire resilience through broad dissemination and open-access tools.
Despite progress in wildfire evacuation simulation models, key challenges remain in accurately modeling and understanding the decision-making processes by incident commanders and public safety officials, realistically modeling human behavior in wildfire evacuations, and adequately representing diverse populations and their dynamic, complex interactions. LLM-based agents could help address some of these limitations, though they bring their own issues with hallucination and generalizability. To tackle the above research challenges, this project develops a novel convergent framework for learning-based simulation of collective human behavior during wildfires. Specifically, the objectives of this research are to: 1) Extend and enrich the Protective Action Decision Model (PADM) for civilians as well as incident commanders and public safety officials; 2) develop psychological theory-informed LLM agents for protective action modeling; 3) generate a realistic, context-aware synthetic population to serve as the critical input for the simulation platform; 4) develop the learning-based simulation platform to integrate complex interactions among various agents and predict collective human behavior at the community level under various scenarios (e.g., fire spread, warning, infrastructure damage); and 5) test and validate the convergent simulation framework with various case studies across the U.S. The research outcomes will enable wildland-urban interface (WUI) communities to better predict wildfire impacts, manage risks, and develop life-saving strategies.
This award reflects NSF's statutory mission and has been deemed worthy of support through evaluation using the Foundation's intellectual merit and broader impacts review criteria.</t>
        </is>
      </c>
      <c r="AJ76" s="23" t="inlineStr"/>
    </row>
    <row r="77" ht="18" customHeight="1">
      <c r="A77" s="25" t="inlineStr">
        <is>
          <t>2442928</t>
        </is>
      </c>
      <c r="B77" s="26" t="inlineStr">
        <is>
          <t>Measuring the Largest Angular-Scale CMB Polarization from a Ground-based Surveyor</t>
        </is>
      </c>
      <c r="C77" s="25" t="inlineStr">
        <is>
          <t>Continuing Grant</t>
        </is>
      </c>
      <c r="D77" s="25" t="inlineStr">
        <is>
          <t>true</t>
        </is>
      </c>
      <c r="E77" s="25" t="inlineStr">
        <is>
          <t>09/18/2025</t>
        </is>
      </c>
      <c r="F77" s="25" t="inlineStr">
        <is>
          <t>10/01/2025</t>
        </is>
      </c>
      <c r="G77" s="25" t="inlineStr">
        <is>
          <t>09/30/2028</t>
        </is>
      </c>
      <c r="H77" s="25" t="inlineStr">
        <is>
          <t>2025</t>
        </is>
      </c>
      <c r="I77" s="27" t="n">
        <v>2831003</v>
      </c>
      <c r="J77" s="27" t="n">
        <v>4198773</v>
      </c>
      <c r="K77" s="25" t="inlineStr">
        <is>
          <t>Tobias</t>
        </is>
      </c>
      <c r="L77" s="25" t="inlineStr">
        <is>
          <t>Marriage</t>
        </is>
      </c>
      <c r="M77" s="25" t="inlineStr">
        <is>
          <t>tmarriage@gmail.com</t>
        </is>
      </c>
      <c r="N77" s="25" t="inlineStr">
        <is>
          <t>Charles L Bennett cbennett@jhu.edu</t>
        </is>
      </c>
      <c r="O77" s="25" t="inlineStr">
        <is>
          <t>Tobias A Marriage</t>
        </is>
      </c>
      <c r="P77" s="25" t="inlineStr">
        <is>
          <t>Nigel Sharp</t>
        </is>
      </c>
      <c r="Q77" s="25" t="inlineStr">
        <is>
          <t>nsharp@nsf.gov</t>
        </is>
      </c>
      <c r="R77" s="25" t="inlineStr">
        <is>
          <t>THE JOHNS HOPKINS UNIVERSITY</t>
        </is>
      </c>
      <c r="S77" s="25" t="inlineStr">
        <is>
          <t>BALTIMORE</t>
        </is>
      </c>
      <c r="T77" s="25" t="inlineStr">
        <is>
          <t>MD</t>
        </is>
      </c>
      <c r="U77" s="25" t="inlineStr">
        <is>
          <t>212182608</t>
        </is>
      </c>
      <c r="V77" s="25" t="inlineStr">
        <is>
          <t>FTMTDMBR29C7</t>
        </is>
      </c>
      <c r="W77" s="25" t="inlineStr">
        <is>
          <t>BALTIMORE</t>
        </is>
      </c>
      <c r="X77" s="25" t="inlineStr">
        <is>
          <t>MD</t>
        </is>
      </c>
      <c r="Y77" s="25" t="inlineStr">
        <is>
          <t>MPS</t>
        </is>
      </c>
      <c r="Z77" s="25" t="inlineStr">
        <is>
          <t>AST</t>
        </is>
      </c>
      <c r="AA77" s="26" t="inlineStr">
        <is>
          <t>MID-SCALE INSTRUMENTATION</t>
        </is>
      </c>
      <c r="AB77" s="25" t="inlineStr">
        <is>
          <t>OBSERVATIONAL ASTRONOMY, INSTRUMENTATION</t>
        </is>
      </c>
      <c r="AC77" s="25" t="inlineStr">
        <is>
          <t>125700</t>
        </is>
      </c>
      <c r="AD77" s="25" t="inlineStr">
        <is>
          <t>1207, 7697</t>
        </is>
      </c>
      <c r="AE77" s="25" t="inlineStr">
        <is>
          <t>47.049</t>
        </is>
      </c>
      <c r="AF77" s="25" t="inlineStr">
        <is>
          <t>1</t>
        </is>
      </c>
      <c r="AG77" s="25" t="inlineStr">
        <is>
          <t>09/18/2025</t>
        </is>
      </c>
      <c r="AH77" s="25" t="inlineStr">
        <is>
          <t>09/18/2025</t>
        </is>
      </c>
      <c r="AI77" s="26" t="inlineStr">
        <is>
          <t>The Cosmology Large Angular Scale Surveyor (CLASS) is uniquely built to probe the largest angular scales in the cosmic microwave background (CMB) polarization from its high site in Chile’s Atacama Desert.  It has already produced polarization maps of 75% of the sky.  This award supports observations and data analysis to develop instrumentation, observing strategies, and analysis techniques to understand and reduce systematic errors while increasing the sensitivity of the surveyor.  Along with a substantially improved estimate of the reionization optical depth, the continuing survey will be able to access the unique imprint of inflationary gravitational waves in the CMB B-mode polarization.  The CLASS faculty and postdocs work with Baltimore science teachers to increase public awareness of science and foster scientific interests in school-age children.  CMB cosmology-focused educational resources developed will integrate into the Next Generation Science Standards in Maryland and other states.  The project continues to train the next generation, having involved some 55 undergraduates and 20 graduate students, and provided leadership training for postdocs.
The survey will provide stringent constraints on the redshift of cosmic dawn, of particular interest as new high-redshift galaxy populations are uncovered by the James Webb Space Telescope.  The optical depth measurement is also critical for neutrino mass constraints.  The survey will test exotic physics, including large-scale temperature anomalies in polarization and the Chern-Simons effect.  It will be the most sensitive measurement of polarized dust and synchrotron radiation for studies of the interstellar medium and Galactic magnetic field.
This award reflects NSF's statutory mission and has been deemed worthy of support through evaluation using the Foundation's intellectual merit and broader impacts review criteria.</t>
        </is>
      </c>
      <c r="AJ77" s="26" t="inlineStr"/>
    </row>
    <row r="78" ht="18" customHeight="1">
      <c r="A78" s="22" t="inlineStr">
        <is>
          <t>2515978</t>
        </is>
      </c>
      <c r="B78" s="23" t="inlineStr">
        <is>
          <t>Collaborative Research: Efficient Bilevel Optimization Methods for Planning and Control</t>
        </is>
      </c>
      <c r="C78" s="22" t="inlineStr">
        <is>
          <t>Standard Grant</t>
        </is>
      </c>
      <c r="D78" s="22" t="inlineStr">
        <is>
          <t>true</t>
        </is>
      </c>
      <c r="E78" s="22" t="inlineStr">
        <is>
          <t>07/30/2025</t>
        </is>
      </c>
      <c r="F78" s="22" t="inlineStr">
        <is>
          <t>10/01/2025</t>
        </is>
      </c>
      <c r="G78" s="22" t="inlineStr">
        <is>
          <t>09/30/2028</t>
        </is>
      </c>
      <c r="H78" s="22" t="inlineStr">
        <is>
          <t>2025</t>
        </is>
      </c>
      <c r="I78" s="24" t="n">
        <v>273797</v>
      </c>
      <c r="J78" s="24" t="n">
        <v>273797</v>
      </c>
      <c r="K78" s="22" t="inlineStr">
        <is>
          <t>Mahyar</t>
        </is>
      </c>
      <c r="L78" s="22" t="inlineStr">
        <is>
          <t>Fazlyab</t>
        </is>
      </c>
      <c r="M78" s="22" t="inlineStr">
        <is>
          <t>mahyarfazlyab@jhu.edu</t>
        </is>
      </c>
      <c r="N78" s="22" t="inlineStr"/>
      <c r="O78" s="22" t="inlineStr">
        <is>
          <t>Mahyar Fazlyab</t>
        </is>
      </c>
      <c r="P78" s="22" t="inlineStr">
        <is>
          <t>Eyad Abed</t>
        </is>
      </c>
      <c r="Q78" s="22" t="inlineStr">
        <is>
          <t>eabed@nsf.gov</t>
        </is>
      </c>
      <c r="R78" s="22" t="inlineStr">
        <is>
          <t>THE JOHNS HOPKINS UNIVERSITY</t>
        </is>
      </c>
      <c r="S78" s="22" t="inlineStr">
        <is>
          <t>BALTIMORE</t>
        </is>
      </c>
      <c r="T78" s="22" t="inlineStr">
        <is>
          <t>MD</t>
        </is>
      </c>
      <c r="U78" s="22" t="inlineStr">
        <is>
          <t>212182608</t>
        </is>
      </c>
      <c r="V78" s="22" t="inlineStr">
        <is>
          <t>FTMTDMBR29C7</t>
        </is>
      </c>
      <c r="W78" s="22" t="inlineStr">
        <is>
          <t>BALTIMORE</t>
        </is>
      </c>
      <c r="X78" s="22" t="inlineStr">
        <is>
          <t>MD</t>
        </is>
      </c>
      <c r="Y78" s="22" t="inlineStr">
        <is>
          <t>ENG</t>
        </is>
      </c>
      <c r="Z78" s="22" t="inlineStr">
        <is>
          <t>ECCS</t>
        </is>
      </c>
      <c r="AA78" s="23" t="inlineStr">
        <is>
          <t>EPCN-Energy-Power-Ctrl-Netwrks</t>
        </is>
      </c>
      <c r="AB78" s="22" t="inlineStr">
        <is>
          <t>CONTROL SYSTEMS, Control systems &amp; applications, LEARNING &amp; INTELLIGENT SYSTEMS</t>
        </is>
      </c>
      <c r="AC78" s="22" t="inlineStr">
        <is>
          <t>760700</t>
        </is>
      </c>
      <c r="AD78" s="22" t="inlineStr">
        <is>
          <t>1632, 092E, 8888</t>
        </is>
      </c>
      <c r="AE78" s="22" t="inlineStr">
        <is>
          <t>47.041</t>
        </is>
      </c>
      <c r="AF78" s="22" t="inlineStr">
        <is>
          <t>1</t>
        </is>
      </c>
      <c r="AG78" s="22" t="inlineStr">
        <is>
          <t>07/30/2025</t>
        </is>
      </c>
      <c r="AH78" s="22" t="inlineStr">
        <is>
          <t>07/30/2025</t>
        </is>
      </c>
      <c r="AI78" s="23" t="inlineStr">
        <is>
          <t>Bilevel optimization is a foundational tool for modeling hierarchical decision-making problems, becoming increasingly prevalent in various fields including machine learning, transportation, energy systems, and robotics. However, existing research on bilevel optimization often focuses on simplified or unconstrained settings, limiting its applicability to practical scenarios that require safe, real-time decision-making under complex constraints. This project aims to bridge this gap by developing efficient and scalable algorithms for constrained, nonconvex bilevel problems, with particular emphasis on planning and control tasks in safety-critical domains. The outcomes of this research will provide general-purpose optimization tools that benefit a broad range of applications in robotics, learning, and autonomous systems. Software developed through this project will be released as open-source packages, enabling broad adoption across academia and industry. Furthermore, this project includes a comprehensive educational and outreach component to engage students at multiple academic levels, foster hands-on learning experiences, and broaden participation in STEM fields.
This project advances the theory and practice of bilevel optimization by designing efficient, safe, and scalable algorithms tailored specifically to constrained, nonconvex bilevel problems in planning and control. The research comprises two main thrusts. In the first thrust, a novel control-theoretic framework will be developed to systematically design bilevel solvers. By modeling optimization algorithms as controlled dynamical systems, this approach will leverage techniques from control theory to establish algorithms with provable convergence guarantees and anytime safety. The foundational work in this thrust specifically targets scalability, non-unique lower-level solutions, and nonconvexities at both optimization levels. In the second thrust, this framework will be applied to two high-impact domains: (i) safe inverse optimal control and reinforcement learning, where the objective is to recover control policies from expert demonstrations under strict safety constraints; and (ii) safe interactive planning for navigation in crowded environments, integrating real-time decision-making with predictive models of human motion. By addressing fundamental challenges in hierarchical safety-critical decision-making, this research will advance the state of the art in optimization, control, and autonomous systems, benefiting both theoretical developments and practical applications.
This award reflects NSF's statutory mission and has been deemed worthy of support through evaluation using the Foundation's intellectual merit and broader impacts review criteria.</t>
        </is>
      </c>
      <c r="AJ78" s="23" t="inlineStr"/>
    </row>
    <row r="79" ht="18" customHeight="1">
      <c r="A79" s="25" t="inlineStr">
        <is>
          <t>2453727</t>
        </is>
      </c>
      <c r="B79" s="26" t="inlineStr">
        <is>
          <t>Collaborative Research: CDS&amp;E: Controlling encapsulated site microenvironments of metal nanocluster catalysts for nitrogen-based hydrogen carrier chemistries</t>
        </is>
      </c>
      <c r="C79" s="25" t="inlineStr">
        <is>
          <t>Standard Grant</t>
        </is>
      </c>
      <c r="D79" s="25" t="inlineStr">
        <is>
          <t>true</t>
        </is>
      </c>
      <c r="E79" s="25" t="inlineStr">
        <is>
          <t>08/28/2025</t>
        </is>
      </c>
      <c r="F79" s="25" t="inlineStr">
        <is>
          <t>10/01/2025</t>
        </is>
      </c>
      <c r="G79" s="25" t="inlineStr">
        <is>
          <t>09/30/2028</t>
        </is>
      </c>
      <c r="H79" s="25" t="inlineStr">
        <is>
          <t>2025</t>
        </is>
      </c>
      <c r="I79" s="27" t="n">
        <v>325000</v>
      </c>
      <c r="J79" s="27" t="n">
        <v>325000</v>
      </c>
      <c r="K79" s="25" t="inlineStr">
        <is>
          <t>Brandon</t>
        </is>
      </c>
      <c r="L79" s="25" t="inlineStr">
        <is>
          <t>Bukowski</t>
        </is>
      </c>
      <c r="M79" s="25" t="inlineStr">
        <is>
          <t>bbukows1@jhu.edu</t>
        </is>
      </c>
      <c r="N79" s="25" t="inlineStr"/>
      <c r="O79" s="25" t="inlineStr">
        <is>
          <t>Brandon C Bukowski</t>
        </is>
      </c>
      <c r="P79" s="25" t="inlineStr">
        <is>
          <t>Bert Chandler</t>
        </is>
      </c>
      <c r="Q79" s="25" t="inlineStr">
        <is>
          <t>bchandle@nsf.gov</t>
        </is>
      </c>
      <c r="R79" s="25" t="inlineStr">
        <is>
          <t>THE JOHNS HOPKINS UNIVERSITY</t>
        </is>
      </c>
      <c r="S79" s="25" t="inlineStr">
        <is>
          <t>BALTIMORE</t>
        </is>
      </c>
      <c r="T79" s="25" t="inlineStr">
        <is>
          <t>MD</t>
        </is>
      </c>
      <c r="U79" s="25" t="inlineStr">
        <is>
          <t>212182608</t>
        </is>
      </c>
      <c r="V79" s="25" t="inlineStr">
        <is>
          <t>FTMTDMBR29C7</t>
        </is>
      </c>
      <c r="W79" s="25" t="inlineStr">
        <is>
          <t>BALTIMORE</t>
        </is>
      </c>
      <c r="X79" s="25" t="inlineStr">
        <is>
          <t>MD</t>
        </is>
      </c>
      <c r="Y79" s="25" t="inlineStr">
        <is>
          <t>ENG</t>
        </is>
      </c>
      <c r="Z79" s="25" t="inlineStr">
        <is>
          <t>CBET</t>
        </is>
      </c>
      <c r="AA79" s="26" t="inlineStr">
        <is>
          <t>Catalysis</t>
        </is>
      </c>
      <c r="AB79" s="25" t="inlineStr"/>
      <c r="AC79" s="25" t="inlineStr">
        <is>
          <t>140100</t>
        </is>
      </c>
      <c r="AD79" s="25" t="inlineStr"/>
      <c r="AE79" s="25" t="inlineStr">
        <is>
          <t>47.041</t>
        </is>
      </c>
      <c r="AF79" s="25" t="inlineStr">
        <is>
          <t>1</t>
        </is>
      </c>
      <c r="AG79" s="25" t="inlineStr">
        <is>
          <t>08/28/2025</t>
        </is>
      </c>
      <c r="AH79" s="25" t="inlineStr">
        <is>
          <t>08/28/2025</t>
        </is>
      </c>
      <c r="AI79" s="26" t="inlineStr">
        <is>
          <t>Small metal nanoparticles are commonly used as materials to accelerate chemical reactions of importance, such as the production and use of fuels and chemicals. However, it is difficult to control the structures of these nanoparticles and how molecules interact with their surfaces.  This limits the ability to control and tune their performance. This project will develop computational approaches to examine metal clusters within tiny, ordered pores of aluminosilicate materials called zeolites.  The work will combine computer simulations and machine learning to understand how these clusters are formed, and how they change during reaction processes. By changing the relative size of the zeolite pore and metal cluster size, the project will understand how nanometer-scale confinement impacts metal clusters and influences their catalytic reactivity.  This will allow the researchers to design materials to perform chemical reactions with lower energy inputs, particularly for reactions that use liquid molecules to store and transport hydrogen. Educational and outreach efforts will train undergraduate and graduate students in new machine learning techniques and engage high school students with direct scientific programs.  The public will be engaged through catalysis simulation tools and applications developed to introduce students to model-driven scientific discovery.
This project focuses on designing metal nanoclusters encapsulated in nanoporous aluminosilicates where precise control over catalysts microenvironment will allow the team to optimize electronic and steric interactions to promote (de)hydrogenation chemistries. This project will use theory and simulation to predict the most promising carrier / zeolite pairs with machine learning tools. In particular, the project will seek to understand and control X-H bond dissociation steps (X = C, N) in the dehydrogenation of ammonia and N-heterocyclic organic molecules over zeolite-encapsulated noble metal nanoclusters. The project will develop computational models that reflect the kinetically relevant chemical interactions and nanocluster structures under reaction conditions.  This project will directly lead to short- and long-term translational benefits to fundamental catalysis science and technological advances for designing selective and stable nanocluster catalysts.
This award reflects NSF's statutory mission and has been deemed worthy of support through evaluation using the Foundation's intellectual merit and broader impacts review criteria.</t>
        </is>
      </c>
      <c r="AJ79" s="26" t="inlineStr"/>
    </row>
    <row r="80" ht="18" customHeight="1">
      <c r="A80" s="22" t="inlineStr">
        <is>
          <t>2344682</t>
        </is>
      </c>
      <c r="B80" s="23" t="inlineStr">
        <is>
          <t>Colloidal Interactions, Structure, and Dynamics on Curvature Landscapes</t>
        </is>
      </c>
      <c r="C80" s="22" t="inlineStr">
        <is>
          <t>Continuing Grant</t>
        </is>
      </c>
      <c r="D80" s="22" t="inlineStr">
        <is>
          <t>true</t>
        </is>
      </c>
      <c r="E80" s="22" t="inlineStr">
        <is>
          <t>08/20/2025</t>
        </is>
      </c>
      <c r="F80" s="22" t="inlineStr">
        <is>
          <t>10/01/2025</t>
        </is>
      </c>
      <c r="G80" s="22" t="inlineStr">
        <is>
          <t>09/30/2028</t>
        </is>
      </c>
      <c r="H80" s="22" t="inlineStr">
        <is>
          <t>2025</t>
        </is>
      </c>
      <c r="I80" s="24" t="n">
        <v>279105</v>
      </c>
      <c r="J80" s="24" t="n">
        <v>425000</v>
      </c>
      <c r="K80" s="22" t="inlineStr">
        <is>
          <t>Michael</t>
        </is>
      </c>
      <c r="L80" s="22" t="inlineStr">
        <is>
          <t>Bevan</t>
        </is>
      </c>
      <c r="M80" s="22" t="inlineStr">
        <is>
          <t>mabevan@jhu.edu</t>
        </is>
      </c>
      <c r="N80" s="22" t="inlineStr"/>
      <c r="O80" s="22" t="inlineStr">
        <is>
          <t>Michael A Bevan</t>
        </is>
      </c>
      <c r="P80" s="22" t="inlineStr">
        <is>
          <t>Daniel Savin</t>
        </is>
      </c>
      <c r="Q80" s="22" t="inlineStr">
        <is>
          <t>dsavin@nsf.gov</t>
        </is>
      </c>
      <c r="R80" s="22" t="inlineStr">
        <is>
          <t>THE JOHNS HOPKINS UNIVERSITY</t>
        </is>
      </c>
      <c r="S80" s="22" t="inlineStr">
        <is>
          <t>BALTIMORE</t>
        </is>
      </c>
      <c r="T80" s="22" t="inlineStr">
        <is>
          <t>MD</t>
        </is>
      </c>
      <c r="U80" s="22" t="inlineStr">
        <is>
          <t>212182608</t>
        </is>
      </c>
      <c r="V80" s="22" t="inlineStr">
        <is>
          <t>FTMTDMBR29C7</t>
        </is>
      </c>
      <c r="W80" s="22" t="inlineStr">
        <is>
          <t>BALTIMORE</t>
        </is>
      </c>
      <c r="X80" s="22" t="inlineStr">
        <is>
          <t>MD</t>
        </is>
      </c>
      <c r="Y80" s="22" t="inlineStr">
        <is>
          <t>MPS</t>
        </is>
      </c>
      <c r="Z80" s="22" t="inlineStr">
        <is>
          <t>DMR</t>
        </is>
      </c>
      <c r="AA80" s="23" t="inlineStr">
        <is>
          <t>CONDENSED MATTER PHYSICS</t>
        </is>
      </c>
      <c r="AB80" s="22" t="inlineStr">
        <is>
          <t>(MGI) Materials Genome Initiative</t>
        </is>
      </c>
      <c r="AC80" s="22" t="inlineStr">
        <is>
          <t>171000</t>
        </is>
      </c>
      <c r="AD80" s="22" t="inlineStr">
        <is>
          <t>054Z</t>
        </is>
      </c>
      <c r="AE80" s="22" t="inlineStr">
        <is>
          <t>47.049</t>
        </is>
      </c>
      <c r="AF80" s="22" t="inlineStr">
        <is>
          <t>1</t>
        </is>
      </c>
      <c r="AG80" s="22" t="inlineStr">
        <is>
          <t>08/20/2025</t>
        </is>
      </c>
      <c r="AH80" s="22" t="inlineStr">
        <is>
          <t>08/20/2025</t>
        </is>
      </c>
      <c r="AI80" s="23" t="inlineStr">
        <is>
          <t>Non-technical abstract:
The vast majority of surfaces of any origin (biological, geological, synthetic) are not flat, smooth, and rigid but instead are generally curved, rough, and deformable, particularly for soft materials. Particle micro-structures formed on such curved surfaces through coating technologies can be used to control many of their interfacial material properties (optical, mechanical, thermal, porosity, etc.). However, particles pack differently on curved surfaces than flat surfaces, which can affect the resulting micro-structures and their ultimate properties in important applications such as two- and three- dimensional printing, optical coatings, flexible electronics, energy capture and storage, and membranes for chemical separations. This project will use optical microscopy and computer experiments to investigate how different shaped particles interact and move around on curved surfaces as part of assembling different surface microstructures with technologically useful properties. The intellectual merit of this project will result from new basic understanding of how different shaped particles assemble into a variety of micro-structures on various curved surface shapes (spherical, cylindrical, wavy). Broader impacts of this project will include educating a multidisciplinary workforce as well as outreach to pre-college level students through classroom and laboratory modules involving microscopy and computational research visuals.
Technical abstract:
The overall goal of this project is to understand the connection between interactions, structures, and dynamics for spherical and ellipsoidal colloidal particles on curved surfaces. A central hypothesis of the project is that topological defects due to geometric frustration will significantly alter mechanisms relating colloidal interactions, structure, and dynamics on curved surfaces compared to flat surfaces. To understand how near-equilibrium colloidal microstructure and dynamics depend on tunable potentials, particle shape, and curvature landscape features, the proposed project will involve closely coupled optical microscopy and computer simulation experiments. The proposed research plan has systematic interconnected aims with step-wise increasing complexity, including measuring and modelling: (aim1) interactions of spherical and ellipsoidal colloidal particles on curved surfaces vs. particle aspect ratio, surface coverage, and substrate curvature, (aim2) interfacial particle structures on curved surfaces including spatial density variations, order parameter profiles, and topological defect type and spatial arrangements, (aim3) translational and rotational self-diffusion and defect dynamics within curvature dependent states including dynamical heterogeneity relative to topological defects. Achieving these aims and overall goal will provide fundamental understanding of how curvature dependent particle scale mechanisms link interactions, microstructural states, topological defects, and diffusive dynamics at near equilibrium conditions, which will provide a basis for future studies of transient microstructure evolution and ultimately formal design and control of such processes.
This award reflects NSF's statutory mission and has been deemed worthy of support through evaluation using the Foundation's intellectual merit and broader impacts review criteria.</t>
        </is>
      </c>
      <c r="AJ80" s="23" t="inlineStr"/>
    </row>
    <row r="81" ht="18" customHeight="1">
      <c r="A81" s="25" t="inlineStr">
        <is>
          <t>2608524</t>
        </is>
      </c>
      <c r="B81" s="26" t="inlineStr">
        <is>
          <t>Collaborative Research: HCC: Small: Supporting Flexible and Safe Disability Representation in Social Virtual Reality</t>
        </is>
      </c>
      <c r="C81" s="25" t="inlineStr">
        <is>
          <t>Standard Grant</t>
        </is>
      </c>
      <c r="D81" s="25" t="inlineStr">
        <is>
          <t>true</t>
        </is>
      </c>
      <c r="E81" s="25" t="inlineStr">
        <is>
          <t>12/12/2025</t>
        </is>
      </c>
      <c r="F81" s="25" t="inlineStr">
        <is>
          <t>10/01/2025</t>
        </is>
      </c>
      <c r="G81" s="25" t="inlineStr">
        <is>
          <t>01/31/2027</t>
        </is>
      </c>
      <c r="H81" s="25" t="inlineStr">
        <is>
          <t>2025</t>
        </is>
      </c>
      <c r="I81" s="27" t="n">
        <v>187130</v>
      </c>
      <c r="J81" s="27" t="n">
        <v>299783</v>
      </c>
      <c r="K81" s="25" t="inlineStr">
        <is>
          <t>Yaxing</t>
        </is>
      </c>
      <c r="L81" s="25" t="inlineStr">
        <is>
          <t>Yao</t>
        </is>
      </c>
      <c r="M81" s="25" t="inlineStr">
        <is>
          <t>yaxing@jhu.edu</t>
        </is>
      </c>
      <c r="N81" s="25" t="inlineStr"/>
      <c r="O81" s="25" t="inlineStr">
        <is>
          <t>Yaxing Yao</t>
        </is>
      </c>
      <c r="P81" s="25" t="inlineStr">
        <is>
          <t>Dan Cosley</t>
        </is>
      </c>
      <c r="Q81" s="25" t="inlineStr">
        <is>
          <t>dcosley@nsf.gov</t>
        </is>
      </c>
      <c r="R81" s="25" t="inlineStr">
        <is>
          <t>THE JOHNS HOPKINS UNIVERSITY</t>
        </is>
      </c>
      <c r="S81" s="25" t="inlineStr">
        <is>
          <t>BALTIMORE</t>
        </is>
      </c>
      <c r="T81" s="25" t="inlineStr">
        <is>
          <t>MD</t>
        </is>
      </c>
      <c r="U81" s="25" t="inlineStr">
        <is>
          <t>212182608</t>
        </is>
      </c>
      <c r="V81" s="25" t="inlineStr">
        <is>
          <t>FTMTDMBR29C7</t>
        </is>
      </c>
      <c r="W81" s="25" t="inlineStr">
        <is>
          <t>BALTIMORE</t>
        </is>
      </c>
      <c r="X81" s="25" t="inlineStr">
        <is>
          <t>MD</t>
        </is>
      </c>
      <c r="Y81" s="25" t="inlineStr">
        <is>
          <t>CSE</t>
        </is>
      </c>
      <c r="Z81" s="25" t="inlineStr">
        <is>
          <t>IIS</t>
        </is>
      </c>
      <c r="AA81" s="26" t="inlineStr">
        <is>
          <t>HCC-Human-Centered Computing</t>
        </is>
      </c>
      <c r="AB81" s="25" t="inlineStr">
        <is>
          <t>Cyber-Human Systems, SMALL PROJECT, REU SUPP-Res Exp for Ugrd Supp</t>
        </is>
      </c>
      <c r="AC81" s="25" t="inlineStr">
        <is>
          <t>736700</t>
        </is>
      </c>
      <c r="AD81" s="25" t="inlineStr">
        <is>
          <t>7367, 7923, 9251</t>
        </is>
      </c>
      <c r="AE81" s="25" t="inlineStr">
        <is>
          <t>47.070</t>
        </is>
      </c>
      <c r="AF81" s="25" t="inlineStr">
        <is>
          <t>1</t>
        </is>
      </c>
      <c r="AG81" s="25" t="inlineStr">
        <is>
          <t>12/12/2025</t>
        </is>
      </c>
      <c r="AH81" s="25" t="inlineStr">
        <is>
          <t>12/12/2025</t>
        </is>
      </c>
      <c r="AI81" s="26" t="inlineStr">
        <is>
          <t>Social Virtual Reality (VR) is an emerging social medium, where a user immerses in a 3D virtual space in the form of an avatar and interacts with others via speech and body gestures. This technology can improve the social life of people with disabilities (PWD) since it simulates the real-world "face-to-face" social experience and can mitigate barriers to interaction that PWD can face in the physical world. The use of avatars also allows PWD to flexibly express their identity, curating desired social images that may be more or less connected to their disabilities. However, current social VR platforms are immature in supporting inclusive identity representation for PWD, in terms of how well avatars' appearance, sounds, and behavior can support desired self-representations.  Moreover, even effective tools for identity expression can lead to stigma and risks for PWD due to the lack of well-established social norms in social VR and the stigma PWD often suffer. This project promotes inclusion and equity for PWD by investigating how to support  flexible and safe disability representation in social VR. By studying PWD's experiences and preferences through close co-design work, the project team will make both theoretical and technical contributions, including design guidelines for inclusive disability expression, theoretical models of risks for PWD in social VR, and technologies and toolkits that mitigate those risks.
This project aims to facilitate an inclusive and harmonious social VR environment for PWD. To achieve this goal, the team focuses on two main questions: (1) How to support flexible disability representation without causing misconceptions or triggering stigma? (2) How to define and mitigate the risks caused by disability disclosure in social VR? To answer these questions, the team will follow human-centered computing approaches that deeply engage people with diverse disabilities across the research process. First, the team will conduct interview studies to build an in-depth understanding of the identity representation preferences and needs of PWD from both avatar and voice perspectives. Second, the team will conduct a diary study to identify the social dynamics caused by disability disclosure in social VR, resulting in a theoretical risk model that characterizes the types and severity of risks PWD may experience. Last, the team will design, implement, and evaluate a set of risk mitigation mechanisms via participatory design workshops. The validated mechanisms will be disseminated as an open source Unity toolkit for researchers and developers to build upon; meanwhile, the methods and technologies developed should be adaptable to other questions around inclusion and safety in social VR.
This award reflects NSF's statutory mission and has been deemed worthy of support through evaluation using the Foundation's intellectual merit and broader impacts review criteria.</t>
        </is>
      </c>
      <c r="AJ81" s="26" t="inlineStr"/>
    </row>
    <row r="82" ht="18" customHeight="1">
      <c r="A82" s="22" t="inlineStr">
        <is>
          <t>2511544</t>
        </is>
      </c>
      <c r="B82" s="23" t="inlineStr">
        <is>
          <t>WoU-MMA: Multi-Messenger Signatures of Hot Accretion Flows around Supermassive Black Hole Binaries</t>
        </is>
      </c>
      <c r="C82" s="22" t="inlineStr">
        <is>
          <t>Standard Grant</t>
        </is>
      </c>
      <c r="D82" s="22" t="inlineStr">
        <is>
          <t>true</t>
        </is>
      </c>
      <c r="E82" s="22" t="inlineStr">
        <is>
          <t>07/11/2025</t>
        </is>
      </c>
      <c r="F82" s="22" t="inlineStr">
        <is>
          <t>09/01/2025</t>
        </is>
      </c>
      <c r="G82" s="22" t="inlineStr">
        <is>
          <t>08/31/2028</t>
        </is>
      </c>
      <c r="H82" s="22" t="inlineStr">
        <is>
          <t>2025</t>
        </is>
      </c>
      <c r="I82" s="24" t="n">
        <v>443481</v>
      </c>
      <c r="J82" s="24" t="n">
        <v>443481</v>
      </c>
      <c r="K82" s="22" t="inlineStr">
        <is>
          <t>Daniel</t>
        </is>
      </c>
      <c r="L82" s="22" t="inlineStr">
        <is>
          <t>D'Orazio</t>
        </is>
      </c>
      <c r="M82" s="22" t="inlineStr">
        <is>
          <t>dorazio@stsci.edu</t>
        </is>
      </c>
      <c r="N82" s="22" t="inlineStr"/>
      <c r="O82" s="22" t="inlineStr">
        <is>
          <t>Daniel J D'Orazio</t>
        </is>
      </c>
      <c r="P82" s="22" t="inlineStr">
        <is>
          <t>Simon Schuler</t>
        </is>
      </c>
      <c r="Q82" s="22" t="inlineStr">
        <is>
          <t>sschuler@nsf.gov</t>
        </is>
      </c>
      <c r="R82" s="22" t="inlineStr">
        <is>
          <t>THE JOHNS HOPKINS UNIVERSITY</t>
        </is>
      </c>
      <c r="S82" s="22" t="inlineStr">
        <is>
          <t>BALTIMORE</t>
        </is>
      </c>
      <c r="T82" s="22" t="inlineStr">
        <is>
          <t>MD</t>
        </is>
      </c>
      <c r="U82" s="22" t="inlineStr">
        <is>
          <t>212182608</t>
        </is>
      </c>
      <c r="V82" s="22" t="inlineStr">
        <is>
          <t>FTMTDMBR29C7</t>
        </is>
      </c>
      <c r="W82" s="22" t="inlineStr">
        <is>
          <t>BALTIMORE</t>
        </is>
      </c>
      <c r="X82" s="22" t="inlineStr">
        <is>
          <t>MD</t>
        </is>
      </c>
      <c r="Y82" s="22" t="inlineStr">
        <is>
          <t>MPS</t>
        </is>
      </c>
      <c r="Z82" s="22" t="inlineStr">
        <is>
          <t>AST</t>
        </is>
      </c>
      <c r="AA82" s="23" t="inlineStr">
        <is>
          <t>WoU-Windows on the Universe: T</t>
        </is>
      </c>
      <c r="AB82" s="22" t="inlineStr">
        <is>
          <t>Windows on the Universe (WoU), THEORETICAL &amp; COMPUTATIONAL ASTROPHYSICS, OBSERVATIONAL ASTRONOMY, REU SITE-Res Exp for Ugrd Site</t>
        </is>
      </c>
      <c r="AC82" s="22" t="inlineStr">
        <is>
          <t>107Y00</t>
        </is>
      </c>
      <c r="AD82" s="22" t="inlineStr">
        <is>
          <t>069Z, 1206, 1207, 9250</t>
        </is>
      </c>
      <c r="AE82" s="22" t="inlineStr">
        <is>
          <t>47.049</t>
        </is>
      </c>
      <c r="AF82" s="22" t="inlineStr">
        <is>
          <t>1</t>
        </is>
      </c>
      <c r="AG82" s="22" t="inlineStr">
        <is>
          <t>07/11/2025</t>
        </is>
      </c>
      <c r="AH82" s="22" t="inlineStr">
        <is>
          <t>07/11/2025</t>
        </is>
      </c>
      <c r="AI82" s="23" t="inlineStr">
        <is>
          <t>An entirely new perspective on the Universe emerged with humanity’s first observations of gravitational waves a decade ago. These messengers of gravity are ripples in the fabric of spacetime launched from the extreme environments of colliding black holes and detected on Earth for the first time in 2015 by the Laser Interferometer Gravitational Wave Observatory (LIGO). Over the past decade astronomers have used this gravitational messenger, along with traditional astronomical observations of light, to uncover many long-held secrets in physics and astronomy. We have, however, only just begun to learn about our Universe from this new discipline of multi-messenger astronomy. In only the last few years we have begun to break open a new realm of gravitational wave observations from merging black holes that are up to billions of times larger than the merging black holes detected by LIGO. These supermassive black holes probe different physical regimes and stand to again open the flood gates of discovery. This research program will build-up necessary theoretical frameworks needed to describe the astrophysical processes which generate multi-messenger signatures from these monstrous black hole mergers. The aim is to predict observational signatures of these supermassive black hole binaries interacting with their environments. To do so the program will pioneer new models of these interactions to facilitate their discovery and interpretation. In this way the program will advance the state-of-the art in this quickly moving field of multi-messenger astrophysics. It will furthermore contribute to education and training of a graduate student and undergraduate students.
Supermassive black holes are the focus of this research program and the subject of a long-standing mystery: will they merge? What can that tell us about the environments that shape them? What are the consequences for the low-frequency gravitational wave sky that is now being probed by the Pulsar Timings Arrays, and in the future by the LISA observatory? The research program will advance the state of the art in modeling binary+gas interactions by laying the theoretical groundwork for a so-far-unexplored regime of binary accretion: hot accretion flows, as opposed to standard thin disk accretion. This program will utilize results established for single-black-hole hot accretion flows, apply them to the binary problem, and make much needed predictions for multi-messenger signatures of accreting supermassive binaries.
This award reflects NSF's statutory mission and has been deemed worthy of support through evaluation using the Foundation's intellectual merit and broader impacts review criteria.</t>
        </is>
      </c>
      <c r="AJ82" s="23" t="inlineStr"/>
    </row>
    <row r="83" ht="18" customHeight="1">
      <c r="A83" s="25" t="inlineStr">
        <is>
          <t>2503739</t>
        </is>
      </c>
      <c r="B83" s="26" t="inlineStr">
        <is>
          <t>Collaborative Research: Corona Discharge in Electrified Storms Initiated by Particle-Laden Atmospheric Turbulence</t>
        </is>
      </c>
      <c r="C83" s="25" t="inlineStr">
        <is>
          <t>Standard Grant</t>
        </is>
      </c>
      <c r="D83" s="25" t="inlineStr">
        <is>
          <t>true</t>
        </is>
      </c>
      <c r="E83" s="25" t="inlineStr">
        <is>
          <t>08/26/2025</t>
        </is>
      </c>
      <c r="F83" s="25" t="inlineStr">
        <is>
          <t>09/01/2025</t>
        </is>
      </c>
      <c r="G83" s="25" t="inlineStr">
        <is>
          <t>08/31/2027</t>
        </is>
      </c>
      <c r="H83" s="25" t="inlineStr">
        <is>
          <t>2025</t>
        </is>
      </c>
      <c r="I83" s="27" t="n">
        <v>341107</v>
      </c>
      <c r="J83" s="27" t="n">
        <v>341107</v>
      </c>
      <c r="K83" s="25" t="inlineStr">
        <is>
          <t>Rui</t>
        </is>
      </c>
      <c r="L83" s="25" t="inlineStr">
        <is>
          <t>Ni</t>
        </is>
      </c>
      <c r="M83" s="25" t="inlineStr">
        <is>
          <t>rni2@jhu.edu</t>
        </is>
      </c>
      <c r="N83" s="25" t="inlineStr"/>
      <c r="O83" s="25" t="inlineStr">
        <is>
          <t>Rui Ni</t>
        </is>
      </c>
      <c r="P83" s="25" t="inlineStr">
        <is>
          <t>Nicholas Anderson</t>
        </is>
      </c>
      <c r="Q83" s="25" t="inlineStr">
        <is>
          <t>nanderso@nsf.gov</t>
        </is>
      </c>
      <c r="R83" s="25" t="inlineStr">
        <is>
          <t>THE JOHNS HOPKINS UNIVERSITY</t>
        </is>
      </c>
      <c r="S83" s="25" t="inlineStr">
        <is>
          <t>BALTIMORE</t>
        </is>
      </c>
      <c r="T83" s="25" t="inlineStr">
        <is>
          <t>MD</t>
        </is>
      </c>
      <c r="U83" s="25" t="inlineStr">
        <is>
          <t>212182608</t>
        </is>
      </c>
      <c r="V83" s="25" t="inlineStr">
        <is>
          <t>FTMTDMBR29C7</t>
        </is>
      </c>
      <c r="W83" s="25" t="inlineStr">
        <is>
          <t>BALTIMORE</t>
        </is>
      </c>
      <c r="X83" s="25" t="inlineStr">
        <is>
          <t>MD</t>
        </is>
      </c>
      <c r="Y83" s="25" t="inlineStr">
        <is>
          <t>GEO</t>
        </is>
      </c>
      <c r="Z83" s="25" t="inlineStr">
        <is>
          <t>AGS</t>
        </is>
      </c>
      <c r="AA83" s="26" t="inlineStr">
        <is>
          <t>Physical &amp; Dynamic Meteorology</t>
        </is>
      </c>
      <c r="AB83" s="25" t="inlineStr"/>
      <c r="AC83" s="25" t="inlineStr">
        <is>
          <t>152500</t>
        </is>
      </c>
      <c r="AD83" s="25" t="inlineStr"/>
      <c r="AE83" s="25" t="inlineStr">
        <is>
          <t>47.050</t>
        </is>
      </c>
      <c r="AF83" s="25" t="inlineStr">
        <is>
          <t>1</t>
        </is>
      </c>
      <c r="AG83" s="25" t="inlineStr">
        <is>
          <t>08/26/2025</t>
        </is>
      </c>
      <c r="AH83" s="25" t="inlineStr">
        <is>
          <t>08/26/2025</t>
        </is>
      </c>
      <c r="AI83" s="26" t="inlineStr">
        <is>
          <t>Lightning is the most well-known component of the electrical nature of Earth’s atmosphere, but other electrical processes are critical to the composition of the atmosphere.  Corona discharges are significant contributors to the development of the hydroxyl radical, which is a compound that reacts with many pollutants and has an important role in eliminating atmospheric methane and ozone.  This study will investigate the role of turbulence in the development of corona discharges inside of clouds by performing controlled laboratory experiments.  Beyond the implications for lightning and pollution, corona discharges are impactful in industrial manufacturing and relevant for future planetary science missions.
The research team plans to test the key hypothesis that turbulence brings inertial particles carrying opposite charges together and causes significant local field enhancement, which exceeds the breakdown limit and initiates both subvisible corona and visible discharges.  The primary mechanism to address this hypothesis is through controlled laboratory experiments using a Homogeneous and Isotropic Turbulence (HIT) chamber.  The chamber is a cubic box with a side length of 1 meter and made of transparent acrylic panels allowing for the use of optical instruments.  The research team will be able to control the turbulence, external electric field, and the droplet concentration, charges, and diameter.  Measurements will include particle motion by particle image velocimetry, particle electric fields by field mill sensors, and discharge location and intensity by ultraviolet (UV) cameras.  The data will be used to answer questions about how the multiscale electric fields develop and intensify in particle-laden turbulence and what the intrinsic connection is between the fluctuating electric field and the occurrence of visible and subvisible discharges.
This award reflects NSF's statutory mission and has been deemed worthy of support through evaluation using the Foundation's intellectual merit and broader impacts review criteria.</t>
        </is>
      </c>
      <c r="AJ83" s="26" t="inlineStr"/>
    </row>
    <row r="84" ht="18" customHeight="1">
      <c r="A84" s="22" t="inlineStr">
        <is>
          <t>2507077</t>
        </is>
      </c>
      <c r="B84" s="23" t="inlineStr">
        <is>
          <t>The formal theory of higher categories</t>
        </is>
      </c>
      <c r="C84" s="22" t="inlineStr">
        <is>
          <t>Standard Grant</t>
        </is>
      </c>
      <c r="D84" s="22" t="inlineStr">
        <is>
          <t>true</t>
        </is>
      </c>
      <c r="E84" s="22" t="inlineStr">
        <is>
          <t>07/08/2025</t>
        </is>
      </c>
      <c r="F84" s="22" t="inlineStr">
        <is>
          <t>09/01/2025</t>
        </is>
      </c>
      <c r="G84" s="22" t="inlineStr">
        <is>
          <t>08/31/2027</t>
        </is>
      </c>
      <c r="H84" s="22" t="inlineStr">
        <is>
          <t>2025</t>
        </is>
      </c>
      <c r="I84" s="24" t="n">
        <v>197643</v>
      </c>
      <c r="J84" s="24" t="n">
        <v>197643</v>
      </c>
      <c r="K84" s="22" t="inlineStr">
        <is>
          <t>Emily</t>
        </is>
      </c>
      <c r="L84" s="22" t="inlineStr">
        <is>
          <t>Riehl</t>
        </is>
      </c>
      <c r="M84" s="22" t="inlineStr">
        <is>
          <t>eriehl@jhu.edu</t>
        </is>
      </c>
      <c r="N84" s="22" t="inlineStr"/>
      <c r="O84" s="22" t="inlineStr">
        <is>
          <t>Emily Riehl</t>
        </is>
      </c>
      <c r="P84" s="22" t="inlineStr">
        <is>
          <t>Paulo Lima Filho</t>
        </is>
      </c>
      <c r="Q84" s="22" t="inlineStr">
        <is>
          <t>plimafil@nsf.gov</t>
        </is>
      </c>
      <c r="R84" s="22" t="inlineStr">
        <is>
          <t>THE JOHNS HOPKINS UNIVERSITY</t>
        </is>
      </c>
      <c r="S84" s="22" t="inlineStr">
        <is>
          <t>BALTIMORE</t>
        </is>
      </c>
      <c r="T84" s="22" t="inlineStr">
        <is>
          <t>MD</t>
        </is>
      </c>
      <c r="U84" s="22" t="inlineStr">
        <is>
          <t>212182608</t>
        </is>
      </c>
      <c r="V84" s="22" t="inlineStr">
        <is>
          <t>FTMTDMBR29C7</t>
        </is>
      </c>
      <c r="W84" s="22" t="inlineStr">
        <is>
          <t>BALTIMORE</t>
        </is>
      </c>
      <c r="X84" s="22" t="inlineStr">
        <is>
          <t>MD</t>
        </is>
      </c>
      <c r="Y84" s="22" t="inlineStr">
        <is>
          <t>MPS</t>
        </is>
      </c>
      <c r="Z84" s="22" t="inlineStr">
        <is>
          <t>DMS</t>
        </is>
      </c>
      <c r="AA84" s="23" t="inlineStr">
        <is>
          <t>TOPOLOGY</t>
        </is>
      </c>
      <c r="AB84" s="22" t="inlineStr">
        <is>
          <t>Harnessing the Data Revolution, Machine Learning Theory</t>
        </is>
      </c>
      <c r="AC84" s="22" t="inlineStr">
        <is>
          <t>126700</t>
        </is>
      </c>
      <c r="AD84" s="22" t="inlineStr">
        <is>
          <t>062Z, 079Z</t>
        </is>
      </c>
      <c r="AE84" s="22" t="inlineStr">
        <is>
          <t>47.049</t>
        </is>
      </c>
      <c r="AF84" s="22" t="inlineStr">
        <is>
          <t>1</t>
        </is>
      </c>
      <c r="AG84" s="22" t="inlineStr">
        <is>
          <t>07/08/2025</t>
        </is>
      </c>
      <c r="AH84" s="22" t="inlineStr">
        <is>
          <t>07/08/2025</t>
        </is>
      </c>
      <c r="AI84" s="23" t="inlineStr">
        <is>
          <t>Computer proof assistants, software programs that verify the logical reasoning of mathematical proofs written in precise formal language, offer an exciting new paradigm for mathematical research, enabling large-scale collaborations and empowering individual researchers to interact with theorems in other subfields that can be found in large open-source libraries of formalized mathematics. Computer proof assistants are likely to become more integral to the working life of mathematicians in the future.  As different proof assistants often implement the rules of different formal systems, mathematicians may even elect to prove certifiably-correct theorems in a non-standard “synthetic” foundation system. The PI will develop three project clusters that involve computer formalization of higher category theory in parallel with theoretical projects necessary to facilitate this work. The formalization projects each have several student collaborators, who are developing their skills with these tools while making significant scientific contributions.
The first project will introduce (∞, 1)-category theory to Lean’s otherwise broad-ranging library Mathlib via the formalism of an ∞-cosmos, developed in prior joint work of the PI. This approach will leverage Mathlib’s existing bicategories library and largely sidestep the apparent difficulty in formalizing proofs that directly deploy the quasi-categories model. A second project also aims to formalize theorems about (∞, 1)-categories, but in a non-standard foundation system designed to make conceptually-simpler constructions and proofs fully rigorous. There is an experimental computer proof assistant Rzk that verifies proofs written in simplicial homotopy type theory, a formal system developed in prior joint work of the PI, and ongoing work to formalize (∞, 1)-category theory in this synthetic framework. This project aims to expand this system, which is insufficiently expressive to encompass the full theory of (∞, 1)-categories, without narrowing its semantics, which include (∞, 1)-categories defined internally to an arbitrary ∞-topos. The final project aspires to develop a prototypical synthetic theory of (∞, n)-categories by developing a new type theory for marked shapes to provide a finitary syntactic encoding of (∞, n)-categorical data with semantics in the new comical spaces model. These pen-and-paper developments will enable (∞, n)-category theory to be formalizable in the future, once a suitable computer proof assistant is built to implement the rules of this new proposed formal system. The medium-term objectives include specific formalization targets that will then be available to other users of Lean’s Mathlib and Rzk’s simplicial homotopy type theory libraries. The long-term objective is to make (∞, 1)-category theory and eventually also (∞, n)-category theory more accessible to non-experts, who could use the computer formalized proofs as ingredients in their work.
This award reflects NSF's statutory mission and has been deemed worthy of support through evaluation using the Foundation's intellectual merit and broader impacts review criteria.</t>
        </is>
      </c>
      <c r="AJ84" s="23" t="inlineStr"/>
    </row>
    <row r="85" ht="18" customHeight="1">
      <c r="A85" s="25" t="inlineStr">
        <is>
          <t>2511158</t>
        </is>
      </c>
      <c r="B85" s="26" t="inlineStr">
        <is>
          <t>Equipment: MRI: Track 2 Acquisition of an Extreme Ultra Violet (EUV) Resist Flood Exposure Tool</t>
        </is>
      </c>
      <c r="C85" s="25" t="inlineStr">
        <is>
          <t>Standard Grant</t>
        </is>
      </c>
      <c r="D85" s="25" t="inlineStr">
        <is>
          <t>true</t>
        </is>
      </c>
      <c r="E85" s="25" t="inlineStr">
        <is>
          <t>09/15/2025</t>
        </is>
      </c>
      <c r="F85" s="25" t="inlineStr">
        <is>
          <t>09/01/2025</t>
        </is>
      </c>
      <c r="G85" s="25" t="inlineStr">
        <is>
          <t>08/31/2028</t>
        </is>
      </c>
      <c r="H85" s="25" t="inlineStr">
        <is>
          <t>2025</t>
        </is>
      </c>
      <c r="I85" s="27" t="n">
        <v>3540000</v>
      </c>
      <c r="J85" s="27" t="n">
        <v>3540000</v>
      </c>
      <c r="K85" s="25" t="inlineStr">
        <is>
          <t>Michael</t>
        </is>
      </c>
      <c r="L85" s="25" t="inlineStr">
        <is>
          <t>Tsapatsis</t>
        </is>
      </c>
      <c r="M85" s="25" t="inlineStr">
        <is>
          <t>tsapatsis@jhu.edu</t>
        </is>
      </c>
      <c r="N85" s="25" t="inlineStr">
        <is>
          <t>Howard Fairbrother howardf@jhu.edu, Rachel Segalman segalman@ucsb.edu, Tyrel McQueen mcqueen@jhu.edu, Chang-Yong Nam chang-yong.nam@stonybrook.edu</t>
        </is>
      </c>
      <c r="O85" s="25" t="inlineStr">
        <is>
          <t>Michael Tsapatsis</t>
        </is>
      </c>
      <c r="P85" s="25" t="inlineStr">
        <is>
          <t>Fangyu Cao</t>
        </is>
      </c>
      <c r="Q85" s="25" t="inlineStr">
        <is>
          <t>fcao@nsf.gov</t>
        </is>
      </c>
      <c r="R85" s="25" t="inlineStr">
        <is>
          <t>THE JOHNS HOPKINS UNIVERSITY</t>
        </is>
      </c>
      <c r="S85" s="25" t="inlineStr">
        <is>
          <t>BALTIMORE</t>
        </is>
      </c>
      <c r="T85" s="25" t="inlineStr">
        <is>
          <t>MD</t>
        </is>
      </c>
      <c r="U85" s="25" t="inlineStr">
        <is>
          <t>212182608</t>
        </is>
      </c>
      <c r="V85" s="25" t="inlineStr">
        <is>
          <t>FTMTDMBR29C7</t>
        </is>
      </c>
      <c r="W85" s="25" t="inlineStr">
        <is>
          <t>BALTIMORE</t>
        </is>
      </c>
      <c r="X85" s="25" t="inlineStr">
        <is>
          <t>MD</t>
        </is>
      </c>
      <c r="Y85" s="25" t="inlineStr">
        <is>
          <t>ENG</t>
        </is>
      </c>
      <c r="Z85" s="25" t="inlineStr">
        <is>
          <t>CBET</t>
        </is>
      </c>
      <c r="AA85" s="26" t="inlineStr">
        <is>
          <t>Major Research Instrumentation</t>
        </is>
      </c>
      <c r="AB85" s="25" t="inlineStr">
        <is>
          <t>MAJOR RESEARCH INSTRUMENTATION</t>
        </is>
      </c>
      <c r="AC85" s="25" t="inlineStr">
        <is>
          <t>118900</t>
        </is>
      </c>
      <c r="AD85" s="25" t="inlineStr">
        <is>
          <t>1189</t>
        </is>
      </c>
      <c r="AE85" s="25" t="inlineStr">
        <is>
          <t>47.041, 47.083</t>
        </is>
      </c>
      <c r="AF85" s="25" t="inlineStr">
        <is>
          <t>1</t>
        </is>
      </c>
      <c r="AG85" s="25" t="inlineStr">
        <is>
          <t>09/15/2025</t>
        </is>
      </c>
      <c r="AH85" s="25" t="inlineStr">
        <is>
          <t>09/15/2025</t>
        </is>
      </c>
      <c r="AI85" s="26" t="inlineStr">
        <is>
          <t>Modern life depends on powerful computer chips that run everything from smartphones to medical devices. Making these chips requires creating incredibly small features, far tinier than the width of a human hair. To achieve this, the electronics industry now uses a special kind of light called extreme ultraviolet (EUV). This new technology allows the production of smaller, faster, and more efficient chips. However, a major problem is the lack of EUV tools to advance this technology, and they are not easily accessible. This project will install an EUV tool at Johns Hopkins University and make it available as a shared resource for scientists and engineers across the country. The facility will drive innovation in electronics and train the next generation of students to allow them to succeed in fields such as semiconductors, photonics, and quantum technologies, which are areas critical to the nation’s future economy and security.
This project will establish a state-of-the-art facility to advance photoresist research in extreme ultraviolet (EUV) lithography. The project will enable systematic investigations that are not feasible with limited beamline access. The new EUV flood exposure tool combines a reliable discharge plasma source with precise dose control and efficient light delivery, providing stable and reproducible exposures. Integrated in situ diagnostics, including total electron yield measurements, Fourier transform infrared spectroscopy, and mass spectrometry, will allow direct observation of chemical changes and outgassing phenomena during exposure. These capabilities are essential for understanding the molecular mechanisms that govern EUV resist performance. Initial projects will include amorphous metal-organic framework all-dry resists, vapor-synthesized metal-containing resists, sequence-controlled polypeptoid resists, and solution-deposited inorganic sol-gel systems. Together, these efforts will broaden the chemical design space for EUV lithography, reveal new reaction pathways, and establish guidelines for sustainable, high-resolution patterning. By coupling in situ diagnostics with systematic material screening, researchers will be able to efficiently select promising resist candidates and define structure-property relationships, paving the way for higher sensitivity, reduced line-edge roughness, and environmentally responsible formulations. Intellectually, this effort will deepen fundamental knowledge of EUV-driven chemistry, inform resist design principles across diverse material classes, and strengthen the scientific foundation for future nanofabrication technologies.
This award reflects NSF's statutory mission and has been deemed worthy of support through evaluation using the Foundation's intellectual merit and broader impacts review criteria.</t>
        </is>
      </c>
      <c r="AJ85" s="26" t="inlineStr"/>
    </row>
    <row r="86" ht="18" customHeight="1">
      <c r="A86" s="22" t="inlineStr">
        <is>
          <t>2520775</t>
        </is>
      </c>
      <c r="B86" s="23" t="inlineStr">
        <is>
          <t>Collaborative Research: Quantifying the genetic basis of the cyanobacterial environmental niche to improve bloom forecasting</t>
        </is>
      </c>
      <c r="C86" s="22" t="inlineStr">
        <is>
          <t>Standard Grant</t>
        </is>
      </c>
      <c r="D86" s="22" t="inlineStr">
        <is>
          <t>true</t>
        </is>
      </c>
      <c r="E86" s="22" t="inlineStr">
        <is>
          <t>07/23/2025</t>
        </is>
      </c>
      <c r="F86" s="22" t="inlineStr">
        <is>
          <t>09/01/2025</t>
        </is>
      </c>
      <c r="G86" s="22" t="inlineStr">
        <is>
          <t>08/31/2028</t>
        </is>
      </c>
      <c r="H86" s="22" t="inlineStr">
        <is>
          <t>2025</t>
        </is>
      </c>
      <c r="I86" s="24" t="n">
        <v>237116</v>
      </c>
      <c r="J86" s="24" t="n">
        <v>237116</v>
      </c>
      <c r="K86" s="22" t="inlineStr">
        <is>
          <t>William</t>
        </is>
      </c>
      <c r="L86" s="22" t="inlineStr">
        <is>
          <t>Ludington</t>
        </is>
      </c>
      <c r="M86" s="22" t="inlineStr">
        <is>
          <t>will.ludington@gmail.com</t>
        </is>
      </c>
      <c r="N86" s="22" t="inlineStr"/>
      <c r="O86" s="22" t="inlineStr">
        <is>
          <t>William B Ludington</t>
        </is>
      </c>
      <c r="P86" s="22" t="inlineStr">
        <is>
          <t>Patrick Abbot</t>
        </is>
      </c>
      <c r="Q86" s="22" t="inlineStr">
        <is>
          <t>dkabbot@nsf.gov</t>
        </is>
      </c>
      <c r="R86" s="22" t="inlineStr">
        <is>
          <t>THE JOHNS HOPKINS UNIVERSITY</t>
        </is>
      </c>
      <c r="S86" s="22" t="inlineStr">
        <is>
          <t>BALTIMORE</t>
        </is>
      </c>
      <c r="T86" s="22" t="inlineStr">
        <is>
          <t>MD</t>
        </is>
      </c>
      <c r="U86" s="22" t="inlineStr">
        <is>
          <t>212182608</t>
        </is>
      </c>
      <c r="V86" s="22" t="inlineStr">
        <is>
          <t>FTMTDMBR29C7</t>
        </is>
      </c>
      <c r="W86" s="22" t="inlineStr">
        <is>
          <t>BALTIMORE</t>
        </is>
      </c>
      <c r="X86" s="22" t="inlineStr">
        <is>
          <t>MD</t>
        </is>
      </c>
      <c r="Y86" s="22" t="inlineStr">
        <is>
          <t>BIO</t>
        </is>
      </c>
      <c r="Z86" s="22" t="inlineStr">
        <is>
          <t>IOS</t>
        </is>
      </c>
      <c r="AA86" s="23" t="inlineStr">
        <is>
          <t>ORCC-Organism Resp Clim Change</t>
        </is>
      </c>
      <c r="AB86" s="22" t="inlineStr"/>
      <c r="AC86" s="22" t="inlineStr">
        <is>
          <t>208Y00</t>
        </is>
      </c>
      <c r="AD86" s="22" t="inlineStr"/>
      <c r="AE86" s="22" t="inlineStr">
        <is>
          <t>47.074</t>
        </is>
      </c>
      <c r="AF86" s="22" t="inlineStr">
        <is>
          <t>1</t>
        </is>
      </c>
      <c r="AG86" s="22" t="inlineStr">
        <is>
          <t>07/23/2025</t>
        </is>
      </c>
      <c r="AH86" s="22" t="inlineStr">
        <is>
          <t>07/23/2025</t>
        </is>
      </c>
      <c r="AI86" s="23" t="inlineStr">
        <is>
          <t>Harmful algal blooms (HABs) are increasing in frequency and severity in lakes, rivers, and coastal areas around the world. Fueled by nutrient runoff and changing weather patterns, HABs threaten aquatic ecosystems, harm public health, and damage local economies including fisheries and tourism that depend on clean water. Despite the growing impact, major challenges exist to predicting when and where HABs will occur. This project aims to transform how we forecast these events by understanding the biology of one of the major microorganisms that cause them, cyanobacteria. By linking genetics and laboratory experiments to the environmental conditions that promote or inhibit cyanobacterial growth, we will determine which genes help these organisms thrive under different conditions. We will integrate this data-driven work with cutting edge mathematical models to enhance bloom forecasting. These models will help communities better manage water resources and protect public health. Ultimately, this research will not only improve our ability to forecast harmful blooms, but also enhance our broader understanding of how microorganisms respond to environmental conditions.
This research addresses the central question of how cyanobacterial bloom dynamics will respond to changing environmental conditions by integrating molecular, ecological, and statistical approaches. The project will (i) map the ecological niches of key bloom-forming cyanobacteria under a realistic range of environmental conditions; (ii) identify the genetic basis of environmental fitness in the model cyanobacterium Synechococcus elongatus using a high-throughput barcoded mutant library; and (iii) develop a hybrid forecasting model that integrates mechanistic growth responses with correlative environmental models. This approach represents a significant advance over current HAB forecasting methods, which rely heavily on empirical correlations with environmental data and fail to account for microbial physiology or evolution. The research will generate a new class of forecasting tools that incorporate fitness landscapes and genotype–environment interactions, providing a mechanistic link between environmental variability and bloom dynamics. Findings will be broadly relevant to microbial ecology and evolutionary genetics, and will establish a generalizable framework for predicting ecologically important microbial behavior under environmental variability.
This award reflects NSF's statutory mission and has been deemed worthy of support through evaluation using the Foundation's intellectual merit and broader impacts review criteria.</t>
        </is>
      </c>
      <c r="AJ86" s="23" t="inlineStr"/>
    </row>
    <row r="87" ht="18" customHeight="1">
      <c r="A87" s="25" t="inlineStr">
        <is>
          <t>2529695</t>
        </is>
      </c>
      <c r="B87" s="26" t="inlineStr">
        <is>
          <t>Collaborative Research: Bioinspired Robots for Adaptive Traversal of Wet Flowable Substrates at the Water-Land Interface</t>
        </is>
      </c>
      <c r="C87" s="25" t="inlineStr">
        <is>
          <t>Standard Grant</t>
        </is>
      </c>
      <c r="D87" s="25" t="inlineStr">
        <is>
          <t>true</t>
        </is>
      </c>
      <c r="E87" s="25" t="inlineStr">
        <is>
          <t>08/28/2025</t>
        </is>
      </c>
      <c r="F87" s="25" t="inlineStr">
        <is>
          <t>09/01/2025</t>
        </is>
      </c>
      <c r="G87" s="25" t="inlineStr">
        <is>
          <t>08/31/2028</t>
        </is>
      </c>
      <c r="H87" s="25" t="inlineStr">
        <is>
          <t>2025</t>
        </is>
      </c>
      <c r="I87" s="27" t="n">
        <v>444835</v>
      </c>
      <c r="J87" s="27" t="n">
        <v>444835</v>
      </c>
      <c r="K87" s="25" t="inlineStr">
        <is>
          <t>Chen</t>
        </is>
      </c>
      <c r="L87" s="25" t="inlineStr">
        <is>
          <t>Li</t>
        </is>
      </c>
      <c r="M87" s="25" t="inlineStr">
        <is>
          <t>lichen98@gmail.com</t>
        </is>
      </c>
      <c r="N87" s="25" t="inlineStr"/>
      <c r="O87" s="25" t="inlineStr">
        <is>
          <t>Chen Li</t>
        </is>
      </c>
      <c r="P87" s="25" t="inlineStr">
        <is>
          <t>Jordan Berg</t>
        </is>
      </c>
      <c r="Q87" s="25" t="inlineStr">
        <is>
          <t>jberg@nsf.gov</t>
        </is>
      </c>
      <c r="R87" s="25" t="inlineStr">
        <is>
          <t>THE JOHNS HOPKINS UNIVERSITY</t>
        </is>
      </c>
      <c r="S87" s="25" t="inlineStr">
        <is>
          <t>BALTIMORE</t>
        </is>
      </c>
      <c r="T87" s="25" t="inlineStr">
        <is>
          <t>MD</t>
        </is>
      </c>
      <c r="U87" s="25" t="inlineStr">
        <is>
          <t>212182608</t>
        </is>
      </c>
      <c r="V87" s="25" t="inlineStr">
        <is>
          <t>FTMTDMBR29C7</t>
        </is>
      </c>
      <c r="W87" s="25" t="inlineStr">
        <is>
          <t>BALTIMORE</t>
        </is>
      </c>
      <c r="X87" s="25" t="inlineStr">
        <is>
          <t>MD</t>
        </is>
      </c>
      <c r="Y87" s="25" t="inlineStr">
        <is>
          <t>ENG</t>
        </is>
      </c>
      <c r="Z87" s="25" t="inlineStr">
        <is>
          <t>CMMI</t>
        </is>
      </c>
      <c r="AA87" s="26" t="inlineStr">
        <is>
          <t>Special Initiatives, FRR-Foundationl Rsrch Robotics</t>
        </is>
      </c>
      <c r="AB87" s="25" t="inlineStr">
        <is>
          <t>ROBOTICS, Artificial Intelligence (AI)</t>
        </is>
      </c>
      <c r="AC87" s="25" t="inlineStr">
        <is>
          <t>164200, 144Y00</t>
        </is>
      </c>
      <c r="AD87" s="25" t="inlineStr">
        <is>
          <t>6840, 075Z</t>
        </is>
      </c>
      <c r="AE87" s="25" t="inlineStr">
        <is>
          <t>47.041</t>
        </is>
      </c>
      <c r="AF87" s="25" t="inlineStr">
        <is>
          <t>1</t>
        </is>
      </c>
      <c r="AG87" s="25" t="inlineStr">
        <is>
          <t>08/28/2025</t>
        </is>
      </c>
      <c r="AH87" s="25" t="inlineStr">
        <is>
          <t>08/28/2025</t>
        </is>
      </c>
      <c r="AI87" s="26" t="inlineStr">
        <is>
          <t>This project supports research that looks to advance robot mobility in challenging natural environments where land meets water—such as wetlands, mudflats, and tidal zones. Accessing these areas is important for performing search and rescue after hurricanes, geological survey, and ecological/environmental monitoring, but they are often challenging for humans or traditional robots to traverse, because the soft, unstable wet sandy and muddy ground can suddenly shift from solid to fluid-like, causing wheels and legs to slip, sink, or become stuck. This research seeks to create a bio-inspired robot capable of reliably moving across such environments by learning how to sense and respond to these complex terrain conditions, much like animals such as mudskippers do in nature. The outcomes of this work intend to help robots assist humans with disaster response, environmental monitoring, and scientific exploration in water–land transition zones that are currently inaccessible. The project will also provide interdisciplinary training for students from high school through doctoral levels and contribute to public STEM education through outreach and publicly shared datasets, videos, and simulations.
The research team looks to create a new robot inspired by mud-dwelling amphibious fishes that can adapt their movement strategies as they encounter different types of wet sandy and muddy terrain. The approach combines the team’s expertise in robotic locomotion, sensing, control, bio-inspiration, and physics modeling of terrain interaction mechanics. The robot seeks to be equipped with direct-drive actuators that can sense ground reaction forces continuously during locomotion and infer the mechanical properties of the terrain on the go. In addition, the team looks to develop terradynamic models to predict how wet sand and mud with varying levels of wetness and clay content respond to locomotion to produce forces and how robot gait must adapt accordingly to attain effective locomotion. By combining these terradynamic models with terrain mechanics sensing capability, this project aims to enable the robot to adjust its gait -- such as changing body undulation or fin movements -- to achieve robust mobility in various wet sandy and muddy terrains. The knowledge from this project intends to deepen scientific understanding of locomotion mechanics and control in cohesive flowable terrain and inform the development of terrain-aware, terrain-adaptive robotic systems. The new methods from this project look to be validated in real-world field testing.
This award reflects NSF's statutory mission and has been deemed worthy of support through evaluation using the Foundation's intellectual merit and broader impacts review criteria.</t>
        </is>
      </c>
      <c r="AJ87" s="26" t="inlineStr"/>
    </row>
    <row r="88" ht="18" customHeight="1">
      <c r="A88" s="22" t="inlineStr">
        <is>
          <t>2524223</t>
        </is>
      </c>
      <c r="B88" s="23" t="inlineStr">
        <is>
          <t>EDGE CMT: Defining the mechanistic roles of hyper-divergent regions in gene-by-environment interactions</t>
        </is>
      </c>
      <c r="C88" s="22" t="inlineStr">
        <is>
          <t>Standard Grant</t>
        </is>
      </c>
      <c r="D88" s="22" t="inlineStr">
        <is>
          <t>true</t>
        </is>
      </c>
      <c r="E88" s="22" t="inlineStr">
        <is>
          <t>07/23/2025</t>
        </is>
      </c>
      <c r="F88" s="22" t="inlineStr">
        <is>
          <t>09/01/2025</t>
        </is>
      </c>
      <c r="G88" s="22" t="inlineStr">
        <is>
          <t>08/31/2028</t>
        </is>
      </c>
      <c r="H88" s="22" t="inlineStr">
        <is>
          <t>2025</t>
        </is>
      </c>
      <c r="I88" s="24" t="n">
        <v>900000</v>
      </c>
      <c r="J88" s="24" t="n">
        <v>900000</v>
      </c>
      <c r="K88" s="22" t="inlineStr">
        <is>
          <t>Erik</t>
        </is>
      </c>
      <c r="L88" s="22" t="inlineStr">
        <is>
          <t>Andersen</t>
        </is>
      </c>
      <c r="M88" s="22" t="inlineStr">
        <is>
          <t>erik.andersen@jhu.edu</t>
        </is>
      </c>
      <c r="N88" s="22" t="inlineStr"/>
      <c r="O88" s="22" t="inlineStr">
        <is>
          <t>Erik C Andersen</t>
        </is>
      </c>
      <c r="P88" s="22" t="inlineStr">
        <is>
          <t>Shin-Han Shiu</t>
        </is>
      </c>
      <c r="Q88" s="22" t="inlineStr">
        <is>
          <t>sshiu@nsf.gov</t>
        </is>
      </c>
      <c r="R88" s="22" t="inlineStr">
        <is>
          <t>THE JOHNS HOPKINS UNIVERSITY</t>
        </is>
      </c>
      <c r="S88" s="22" t="inlineStr">
        <is>
          <t>BALTIMORE</t>
        </is>
      </c>
      <c r="T88" s="22" t="inlineStr">
        <is>
          <t>MD</t>
        </is>
      </c>
      <c r="U88" s="22" t="inlineStr">
        <is>
          <t>212182608</t>
        </is>
      </c>
      <c r="V88" s="22" t="inlineStr">
        <is>
          <t>FTMTDMBR29C7</t>
        </is>
      </c>
      <c r="W88" s="22" t="inlineStr">
        <is>
          <t>BALTIMORE</t>
        </is>
      </c>
      <c r="X88" s="22" t="inlineStr">
        <is>
          <t>MD</t>
        </is>
      </c>
      <c r="Y88" s="22" t="inlineStr">
        <is>
          <t>BIO</t>
        </is>
      </c>
      <c r="Z88" s="22" t="inlineStr">
        <is>
          <t>IOS</t>
        </is>
      </c>
      <c r="AA88" s="23" t="inlineStr">
        <is>
          <t>EDGE Research</t>
        </is>
      </c>
      <c r="AB88" s="22" t="inlineStr">
        <is>
          <t>EDGE Enabling Discovery through Genomic</t>
        </is>
      </c>
      <c r="AC88" s="22" t="inlineStr">
        <is>
          <t>136Y00</t>
        </is>
      </c>
      <c r="AD88" s="22" t="inlineStr">
        <is>
          <t>050Z</t>
        </is>
      </c>
      <c r="AE88" s="22" t="inlineStr">
        <is>
          <t>47.074</t>
        </is>
      </c>
      <c r="AF88" s="22" t="inlineStr">
        <is>
          <t>1</t>
        </is>
      </c>
      <c r="AG88" s="22" t="inlineStr">
        <is>
          <t>07/23/2025</t>
        </is>
      </c>
      <c r="AH88" s="22" t="inlineStr">
        <is>
          <t>07/23/2025</t>
        </is>
      </c>
      <c r="AI88" s="23" t="inlineStr">
        <is>
          <t>Since Charles Darwin's studies of evolution, the field has been fascinated by adaptation or the process by which a species changes its behavior, physiology, or fitness to match a particular environment through genetic changes. Recently, the principal invstigator has found that genomes of many organisms have previously unknown and unseen regions that likely impact adaptation. This proposal will use cutting-edge genomics, genetic crosses, and high-throughput experiments to measure the effects of the genome on environmental adaptation. Using nematode species, these studies enable the first connections between specific genes that vary significantly among individuals to specific environmental factors. We hope to discover molecular details into how evolution impacts genomes. Additionally, we will use custom-built, low-cost microscopes and lesson plans adapted for middle and high school classrooms to run in-person nematode isolation experiments from the natural environment. Our focus will be to teach evolutionary principles and the fun of field scientific research.
Short-read genome sequencing has transformed the fields of quantitative and population genetics. It is straightforward to generate whole-genome sequence (WGS) data for many organisms across a species. This explosion of WGS data across populations has led to the mapping of many quantitative trait loci (QTL), but very few of these QTL have been resolved to the level of quantitative trait genes or variants. This missing understanding of trait variation at the mechanistic level impedes our ability to make predictions of phenotype from genotype and to use the power of tractable organisms to translate generalizable results to less tractable species. Model species (e.g., yeast, worms, flies, and plants) have many QTL that have been resolved to genes and ultimate molecular mechanism, demonstrating generalizable features of trait variation across the tree of life. However, even in these tractable organisms, some regions of the genome are inaccessible using short-read WGS because they harbor variation that is far higher than genome-wide averages obfuscating genome alignments and variant calling. These hyper-divergent regions (HDRs) are found from plants to worms to humans and represent genomic “dark matter” because we know that they exist but their biological relevance is still mysterious. We will use long-read (LR) sequencing and de novo genome assembly to identify the highly variable genes or genes missing from reference genomes that play hypothesized roles in gene-by-environment (GxE) interactions, especially responses to pathogens, using high-throughput assays. These regions will be defined at the molecular level to enable phenotypic predictions and fully understand complex multigenic traits.
This award reflects NSF's statutory mission and has been deemed worthy of support through evaluation using the Foundation's intellectual merit and broader impacts review criteria.</t>
        </is>
      </c>
      <c r="AJ88" s="23" t="inlineStr"/>
    </row>
    <row r="89" ht="18" customHeight="1">
      <c r="A89" s="25" t="inlineStr">
        <is>
          <t>2532514</t>
        </is>
      </c>
      <c r="B89" s="26" t="inlineStr">
        <is>
          <t>Metal Ion Transport in Microporous Metal-Organic Frameworks for Energy Storage Applications</t>
        </is>
      </c>
      <c r="C89" s="25" t="inlineStr">
        <is>
          <t>Standard Grant</t>
        </is>
      </c>
      <c r="D89" s="25" t="inlineStr">
        <is>
          <t>true</t>
        </is>
      </c>
      <c r="E89" s="25" t="inlineStr">
        <is>
          <t>08/20/2025</t>
        </is>
      </c>
      <c r="F89" s="25" t="inlineStr">
        <is>
          <t>09/01/2025</t>
        </is>
      </c>
      <c r="G89" s="25" t="inlineStr">
        <is>
          <t>08/31/2028</t>
        </is>
      </c>
      <c r="H89" s="25" t="inlineStr">
        <is>
          <t>2025</t>
        </is>
      </c>
      <c r="I89" s="27" t="n">
        <v>652299</v>
      </c>
      <c r="J89" s="27" t="n">
        <v>652299</v>
      </c>
      <c r="K89" s="25" t="inlineStr">
        <is>
          <t>Sara</t>
        </is>
      </c>
      <c r="L89" s="25" t="inlineStr">
        <is>
          <t>Thoi</t>
        </is>
      </c>
      <c r="M89" s="25" t="inlineStr">
        <is>
          <t>sarathoi@jhu.edu</t>
        </is>
      </c>
      <c r="N89" s="25" t="inlineStr"/>
      <c r="O89" s="25" t="inlineStr">
        <is>
          <t>Sara Thoi</t>
        </is>
      </c>
      <c r="P89" s="25" t="inlineStr">
        <is>
          <t>Birgit Schwenzer</t>
        </is>
      </c>
      <c r="Q89" s="25" t="inlineStr">
        <is>
          <t>bschwenz@nsf.gov</t>
        </is>
      </c>
      <c r="R89" s="25" t="inlineStr">
        <is>
          <t>THE JOHNS HOPKINS UNIVERSITY</t>
        </is>
      </c>
      <c r="S89" s="25" t="inlineStr">
        <is>
          <t>BALTIMORE</t>
        </is>
      </c>
      <c r="T89" s="25" t="inlineStr">
        <is>
          <t>MD</t>
        </is>
      </c>
      <c r="U89" s="25" t="inlineStr">
        <is>
          <t>212182608</t>
        </is>
      </c>
      <c r="V89" s="25" t="inlineStr">
        <is>
          <t>FTMTDMBR29C7</t>
        </is>
      </c>
      <c r="W89" s="25" t="inlineStr">
        <is>
          <t>BALTIMORE</t>
        </is>
      </c>
      <c r="X89" s="25" t="inlineStr">
        <is>
          <t>MD</t>
        </is>
      </c>
      <c r="Y89" s="25" t="inlineStr">
        <is>
          <t>MPS</t>
        </is>
      </c>
      <c r="Z89" s="25" t="inlineStr">
        <is>
          <t>DMR</t>
        </is>
      </c>
      <c r="AA89" s="26" t="inlineStr">
        <is>
          <t>SOLID STATE &amp; MATERIALS CHEMIS</t>
        </is>
      </c>
      <c r="AB89" s="25" t="inlineStr">
        <is>
          <t>Energy Storage or Transmission</t>
        </is>
      </c>
      <c r="AC89" s="25" t="inlineStr">
        <is>
          <t>176200</t>
        </is>
      </c>
      <c r="AD89" s="25" t="inlineStr">
        <is>
          <t>8399</t>
        </is>
      </c>
      <c r="AE89" s="25" t="inlineStr">
        <is>
          <t>47.049</t>
        </is>
      </c>
      <c r="AF89" s="25" t="inlineStr">
        <is>
          <t>1</t>
        </is>
      </c>
      <c r="AG89" s="25" t="inlineStr">
        <is>
          <t>08/20/2025</t>
        </is>
      </c>
      <c r="AH89" s="25" t="inlineStr">
        <is>
          <t>08/20/2025</t>
        </is>
      </c>
      <c r="AI89" s="26" t="inlineStr">
        <is>
          <t>Part 1: NON-TECHNICAL SUMMARY
The prevailing commercial lithium-ion batteries (LIBs) contain a flammable liquid electrolyte that can lead to major safety hazards.  Replacing the liquid electrolyte with a nonflammable solid can alleviate these issues, but current batteries using solid electrolytes are unable to maintain high storage and fast charging capabilities. This project, supported by the Solid State and Materials Chemistry program in NSF’s Division of Materials Research, leverages a unique class of porous materials called metal-organic frameworks (MOFs), which are made of metal and organic components that are precisely arranged in an ordered network, as promising solid electrolytes. By selecting appropriate metal ions and organic compounds, the desired chemical and physical properties of the MOF can be tuned to improve battery performance. The expected outcome of this project is the acquisition of foundational knowledge to design solid electrolytes that are safe replacements to existing liquid electrolytes. Such advances are necessary for developing reliable next-generation batteries for portable electronics, electric transportation, and electric grid management. Additionally, through education and outreach activities this project promotes public scientific discourse through the training of early-career researchers in effective scientific communication, an accessible chemistry video series on battery research, and on-site research opportunities for high schoolers and community college undergraduate students. This project thus advances the frontier of energy storage devices, promotes public engagement in science and technology, and aligns with the national interest of a secure energy future.
Part 2: TECHNICAL SUMMARY
A major bottleneck in advanced energy storage technologies is related to challenges of the electrolyte. The prevailing commercial lithium-ion batteries (LIBs) contain liquid electrolytes that are flammable and can lead to major safety hazards. Owing to the increasing demand of high-capacity, high-power batteries, safety challenges with liquid electrolyte are exacerbated with scaling to large battery packs and to other more reactive chemistries, such as replacing Li graphite anodes in LIBs with Li metal anodes. Solid-state electrolytes can alleviate these issues, but they are limited by low ion conductivity and poor interfacial stability. This project, supported by the Solid State and Materials Chemistry program in the Division of Materials Research, leverages the diversity and modularity of a class of microporous metal-organic frameworks (MOFs), which are known for their molecular sieving properties for gas separation, as solid-state ion conductors. The objectives are to 1) elucidate the mechanism of Li+ transport in a Ca-based squarate MOF, 2) apply mechanistic insights obtained to other metal squarate MOFs to evaluate the role of microporosity on metal ion diffusion, and 3) evaluate the interfacial stability of squarate MOFs and their ability to facilitate reversible Li deposition. In the long term, the researchers plan to build a multidimensional map that connects structural and chemical factors of microporous MOFs to metal ion transport. The acquired knowledge informs the rational design of solid-state electrolytes for Li-based energy storage devices. This project also enhances public access to science, technology, engineering, and mathematics (STEM) through the training of early-career researchers in effective scientific communication, an educational video series entitled, ″Meet a Chemist,″ and on-site research opportunities for local high school students and undergraduates from community colleges.
This award reflects NSF's statutory mission and has been deemed worthy of support through evaluation using the Foundation's intellectual merit and broader impacts review criteria.</t>
        </is>
      </c>
      <c r="AJ89" s="26" t="inlineStr"/>
    </row>
    <row r="90" ht="18" customHeight="1">
      <c r="A90" s="22" t="inlineStr">
        <is>
          <t>2437163</t>
        </is>
      </c>
      <c r="B90" s="23" t="inlineStr">
        <is>
          <t>Collaborative Research: Developing Predictive Models for Dissipation and Actuation in  Polydomain Liquid Crystal Elastomers by Bridging Scales</t>
        </is>
      </c>
      <c r="C90" s="22" t="inlineStr">
        <is>
          <t>Standard Grant</t>
        </is>
      </c>
      <c r="D90" s="22" t="inlineStr">
        <is>
          <t>true</t>
        </is>
      </c>
      <c r="E90" s="22" t="inlineStr">
        <is>
          <t>08/15/2025</t>
        </is>
      </c>
      <c r="F90" s="22" t="inlineStr">
        <is>
          <t>09/01/2025</t>
        </is>
      </c>
      <c r="G90" s="22" t="inlineStr">
        <is>
          <t>08/31/2028</t>
        </is>
      </c>
      <c r="H90" s="22" t="inlineStr">
        <is>
          <t>2025</t>
        </is>
      </c>
      <c r="I90" s="24" t="n">
        <v>299385</v>
      </c>
      <c r="J90" s="24" t="n">
        <v>299385</v>
      </c>
      <c r="K90" s="22" t="inlineStr">
        <is>
          <t>Thao</t>
        </is>
      </c>
      <c r="L90" s="22" t="inlineStr">
        <is>
          <t>Nguyen</t>
        </is>
      </c>
      <c r="M90" s="22" t="inlineStr">
        <is>
          <t>vicky.nguyen@jhu.edu</t>
        </is>
      </c>
      <c r="N90" s="22" t="inlineStr"/>
      <c r="O90" s="22" t="inlineStr">
        <is>
          <t>Thao D Nguyen</t>
        </is>
      </c>
      <c r="P90" s="22" t="inlineStr">
        <is>
          <t>Siddiq Qidwai</t>
        </is>
      </c>
      <c r="Q90" s="22" t="inlineStr">
        <is>
          <t>sqidwai@nsf.gov</t>
        </is>
      </c>
      <c r="R90" s="22" t="inlineStr">
        <is>
          <t>THE JOHNS HOPKINS UNIVERSITY</t>
        </is>
      </c>
      <c r="S90" s="22" t="inlineStr">
        <is>
          <t>BALTIMORE</t>
        </is>
      </c>
      <c r="T90" s="22" t="inlineStr">
        <is>
          <t>MD</t>
        </is>
      </c>
      <c r="U90" s="22" t="inlineStr">
        <is>
          <t>212182608</t>
        </is>
      </c>
      <c r="V90" s="22" t="inlineStr">
        <is>
          <t>FTMTDMBR29C7</t>
        </is>
      </c>
      <c r="W90" s="22" t="inlineStr">
        <is>
          <t>BALTIMORE</t>
        </is>
      </c>
      <c r="X90" s="22" t="inlineStr">
        <is>
          <t>MD</t>
        </is>
      </c>
      <c r="Y90" s="22" t="inlineStr">
        <is>
          <t>ENG</t>
        </is>
      </c>
      <c r="Z90" s="22" t="inlineStr">
        <is>
          <t>CMMI</t>
        </is>
      </c>
      <c r="AA90" s="23" t="inlineStr">
        <is>
          <t>Mechanics of Materials and Str</t>
        </is>
      </c>
      <c r="AB90" s="22" t="inlineStr">
        <is>
          <t>SOLID MECHANICS, WOMEN, MINORITY, DISABLED, NEC</t>
        </is>
      </c>
      <c r="AC90" s="22" t="inlineStr">
        <is>
          <t>163000</t>
        </is>
      </c>
      <c r="AD90" s="22" t="inlineStr">
        <is>
          <t>022E, 9102</t>
        </is>
      </c>
      <c r="AE90" s="22" t="inlineStr">
        <is>
          <t>47.041</t>
        </is>
      </c>
      <c r="AF90" s="22" t="inlineStr">
        <is>
          <t>1</t>
        </is>
      </c>
      <c r="AG90" s="22" t="inlineStr">
        <is>
          <t>08/15/2025</t>
        </is>
      </c>
      <c r="AH90" s="22" t="inlineStr">
        <is>
          <t>08/15/2025</t>
        </is>
      </c>
      <c r="AI90" s="23" t="inlineStr">
        <is>
          <t>Liquid crystal elastomers are soft, rubber-like materials that contain special molecules called mesogens. Mesogens have unique properties that allow them to be manipulated with external forces, independently from the host polymer. Being able to directly manipulate mesogens gives rise to materials that are supersoft, can dissipate large amounts of energy, and can even function as actuators. Potential applications include biomedical implants with programmable dissipation, architected vibration isolators, football helmet liners, motorcycle riders and war fighters, and actuators for soft robotics. To date, most work on liquid crystal elastomers has been performed on material systems whose manufacturing is difficult to scale to the industrial setting. This project proposes to experimentally probe the mesogen scale processes that occur in liquid crystal elastomers, which will be made via economical and scalable batch mixing and cross-linking processes. The plan includes testing materials in several complex states of deformation and developing testable mathematical models for the materials’ behavior. All data and numerical implementations of these models will be made findable, shareable, and publicly available through data repositories and code hosting platforms, allowing for the effective design of engineering products that leverage the unique properties of liquid crystal elastomers. Lastly, the project will integrate undergraduate and high-school students in various aspects of the research to promote the development of the American STEM workforce, as well as engage in outreach to improve public scientific literacy and engagement.
Liquid crystal elastomers have been widely promoted as possible materials for soft actuators and high damping materials. Past work on materials and models for engineering design with liquid crystal elastomers has been heavily concentrated on mono-domain materials that require special fabrication steps, which are difficult to scale to industrial settings. More promising from an economic perspective are poly-domain materials that can be made in simple batch processes. In this project, a panel of mono and poly-domain materials will be made using the same chemistry. The materials will be subjected to uniaxial tension, compression, biaxial extension, and plane strain compression, all while monitoring their director fields. The resulting data will be used to calibrate a viscoelastic mono-domain model, which will subsequently be utilized in a representative volume element (RVE) model of the polydomain materials. The RVE model will then be exercised as a tool to develop a continuum level polydomain model based on a variational modeling structure that employs a spatially averaged free energy function and dissipation function, together with a generalized Biot evolution law.
This award reflects NSF's statutory mission and has been deemed worthy of support through evaluation using the Foundation's intellectual merit and broader impacts review criteria.</t>
        </is>
      </c>
      <c r="AJ90" s="23" t="inlineStr"/>
    </row>
    <row r="91" ht="18" customHeight="1">
      <c r="A91" s="25" t="inlineStr">
        <is>
          <t>2527296</t>
        </is>
      </c>
      <c r="B91" s="26" t="inlineStr">
        <is>
          <t>Collaborative Research: eMB: A deep learning-enhanced multiphysics and multiscale framework for mechanistic modeling of erythrophagocytosis</t>
        </is>
      </c>
      <c r="C91" s="25" t="inlineStr">
        <is>
          <t>Standard Grant</t>
        </is>
      </c>
      <c r="D91" s="25" t="inlineStr">
        <is>
          <t>true</t>
        </is>
      </c>
      <c r="E91" s="25" t="inlineStr">
        <is>
          <t>08/08/2025</t>
        </is>
      </c>
      <c r="F91" s="25" t="inlineStr">
        <is>
          <t>09/01/2025</t>
        </is>
      </c>
      <c r="G91" s="25" t="inlineStr">
        <is>
          <t>08/31/2028</t>
        </is>
      </c>
      <c r="H91" s="25" t="inlineStr">
        <is>
          <t>2025</t>
        </is>
      </c>
      <c r="I91" s="27" t="n">
        <v>99999</v>
      </c>
      <c r="J91" s="27" t="n">
        <v>99999</v>
      </c>
      <c r="K91" s="25" t="inlineStr">
        <is>
          <t>Aleksander</t>
        </is>
      </c>
      <c r="L91" s="25" t="inlineStr">
        <is>
          <t>Popel</t>
        </is>
      </c>
      <c r="M91" s="25" t="inlineStr">
        <is>
          <t>apopel@jhu.edu</t>
        </is>
      </c>
      <c r="N91" s="25" t="inlineStr"/>
      <c r="O91" s="25" t="inlineStr">
        <is>
          <t>Aleksander S Popel</t>
        </is>
      </c>
      <c r="P91" s="25" t="inlineStr">
        <is>
          <t>Zhilan Feng</t>
        </is>
      </c>
      <c r="Q91" s="25" t="inlineStr">
        <is>
          <t>zfeng@nsf.gov</t>
        </is>
      </c>
      <c r="R91" s="25" t="inlineStr">
        <is>
          <t>THE JOHNS HOPKINS UNIVERSITY</t>
        </is>
      </c>
      <c r="S91" s="25" t="inlineStr">
        <is>
          <t>BALTIMORE</t>
        </is>
      </c>
      <c r="T91" s="25" t="inlineStr">
        <is>
          <t>MD</t>
        </is>
      </c>
      <c r="U91" s="25" t="inlineStr">
        <is>
          <t>212182608</t>
        </is>
      </c>
      <c r="V91" s="25" t="inlineStr">
        <is>
          <t>FTMTDMBR29C7</t>
        </is>
      </c>
      <c r="W91" s="25" t="inlineStr">
        <is>
          <t>BALTIMORE</t>
        </is>
      </c>
      <c r="X91" s="25" t="inlineStr">
        <is>
          <t>MD</t>
        </is>
      </c>
      <c r="Y91" s="25" t="inlineStr">
        <is>
          <t>MPS</t>
        </is>
      </c>
      <c r="Z91" s="25" t="inlineStr">
        <is>
          <t>DMS</t>
        </is>
      </c>
      <c r="AA91" s="26" t="inlineStr">
        <is>
          <t>MATHEMATICAL BIOLOGY</t>
        </is>
      </c>
      <c r="AB91" s="25" t="inlineStr">
        <is>
          <t>Artificial Intelligence (AI), Machine Learning Theory, Biotechnology</t>
        </is>
      </c>
      <c r="AC91" s="25" t="inlineStr">
        <is>
          <t>733400</t>
        </is>
      </c>
      <c r="AD91" s="25" t="inlineStr">
        <is>
          <t>075Z, 079Z, 8038</t>
        </is>
      </c>
      <c r="AE91" s="25" t="inlineStr">
        <is>
          <t>47.049</t>
        </is>
      </c>
      <c r="AF91" s="25" t="inlineStr">
        <is>
          <t>1</t>
        </is>
      </c>
      <c r="AG91" s="25" t="inlineStr">
        <is>
          <t>08/08/2025</t>
        </is>
      </c>
      <c r="AH91" s="25" t="inlineStr">
        <is>
          <t>08/08/2025</t>
        </is>
      </c>
      <c r="AI91" s="26" t="inlineStr">
        <is>
          <t>Erythrophagocytosis is a complex multiphysics process involving recognizing, engulfing, and digesting aged or diseased red blood cells (RBCs) by phagocytic cells. Biochemical signaling pathways mediated by ligand-receptor engagement have been considered as key factors in initiating and driving the phagocytosis of abnormal RBCs by tissue-resident macrophages in the spleen and the liver. However, growing evidence has underscored the effect of the stiffness of RBCs in modulating the engulfment process. Building on this evidence, the project proposes that erythrophagocytosis is not only governed by the biochemical signaling pathways but is also significantly impacted by the mechanics of RBCs. To validate the hypothesis and address the key question of how multiple biochemical signaling pathways and RBC biomechanics are intertwined in dictating the erythrophagocytosis, the project will develop an artificial intelligence (AI)-enhanced multiphysics and multiscale framework validated using multimodal experimental data. The project will apply this framework to quantify the impact of signaling pathways and RBC stiffness on macrophage-mediated RBC engulfment. The proposed framework is transformative to investigate the pathogenesis of various hemolytic anemia and the mechanisms of macrophage-based approaches for cancer immunotherapy. Integration of biochemical and biomechanical modeling using AI approaches bridges the gap between the spatial and temporal scales of molecular and cellular interaction, opening a new avenue to address a wide range of biological and biomedical questions. Research outcomes will be disseminated into three courses at three universities. The project will recruit undergraduate and high school students and actively involve them in the research.
The project will develop two multiphysics models using different deep learning algorithms to perform multiscale analyses of erythrophagocytosis. In Model 1, the project will incorporate the role of RBC stiffness into the biochemical signaling model of erythrophagocytosis by adding a new pathway. This system-level model, which is suitable for making predictions across blood samples, will be built using an AI-enhanced pipeline consisting of identifiability analysis and systems biology-informed neural networks (SBINNs). While identifiability analysis is used to optimize model design, SBINNs enhance efficiency in inferring model parameters from limited experimental data. In Model 2, the project will integrate biochemical signaling models with biomechanical models to drive the multiscale process of erythrophagocytosis. This multiphysics and multiscale model enables the simulation of various subcellular processes, i.e., the formation of actin filaments and their interaction with the plasma membrane, and cellular level process including the interaction between the macrophages and their targets as well as the internalization of targets. The project will bridge the sub-cellular model and the cellular model using deep neural operators to improve the computational efficiency. Model 2 is feasible for investigating the molecular mechanisms underlying erythrophagocytosis at the single-cell level. The two proposed models will be informed and validated using data from existing and new phagocytosis experiments. In summary, the project will develop new multiphysics and multiscale models powered by deep learning to elucidate the complex interplay between biochemical signaling and biomechanics in regulating erythrophagocytosis.
This award reflects NSF's statutory mission and has been deemed worthy of support through evaluation using the Foundation's intellectual merit and broader impacts review criteria.</t>
        </is>
      </c>
      <c r="AJ91" s="26" t="inlineStr"/>
    </row>
    <row r="92" ht="18" customHeight="1">
      <c r="A92" s="22" t="inlineStr">
        <is>
          <t>2519259</t>
        </is>
      </c>
      <c r="B92" s="23" t="inlineStr">
        <is>
          <t>Advancing Single Molecule Methods to Understand Translation Regulation in Live Cells</t>
        </is>
      </c>
      <c r="C92" s="22" t="inlineStr">
        <is>
          <t>Standard Grant</t>
        </is>
      </c>
      <c r="D92" s="22" t="inlineStr">
        <is>
          <t>true</t>
        </is>
      </c>
      <c r="E92" s="22" t="inlineStr">
        <is>
          <t>07/29/2025</t>
        </is>
      </c>
      <c r="F92" s="22" t="inlineStr">
        <is>
          <t>09/01/2025</t>
        </is>
      </c>
      <c r="G92" s="22" t="inlineStr">
        <is>
          <t>08/31/2029</t>
        </is>
      </c>
      <c r="H92" s="22" t="inlineStr">
        <is>
          <t>2025</t>
        </is>
      </c>
      <c r="I92" s="24" t="n">
        <v>856135</v>
      </c>
      <c r="J92" s="24" t="n">
        <v>856135</v>
      </c>
      <c r="K92" s="22" t="inlineStr">
        <is>
          <t>Sergi</t>
        </is>
      </c>
      <c r="L92" s="22" t="inlineStr">
        <is>
          <t>Regot</t>
        </is>
      </c>
      <c r="M92" s="22" t="inlineStr">
        <is>
          <t>sregot@jhmi.edu</t>
        </is>
      </c>
      <c r="N92" s="22" t="inlineStr"/>
      <c r="O92" s="22" t="inlineStr">
        <is>
          <t>Sergi Regot</t>
        </is>
      </c>
      <c r="P92" s="22" t="inlineStr">
        <is>
          <t>Pablo Artigas</t>
        </is>
      </c>
      <c r="Q92" s="22" t="inlineStr">
        <is>
          <t>partigas@nsf.gov</t>
        </is>
      </c>
      <c r="R92" s="22" t="inlineStr">
        <is>
          <t>THE JOHNS HOPKINS UNIVERSITY</t>
        </is>
      </c>
      <c r="S92" s="22" t="inlineStr">
        <is>
          <t>BALTIMORE</t>
        </is>
      </c>
      <c r="T92" s="22" t="inlineStr">
        <is>
          <t>MD</t>
        </is>
      </c>
      <c r="U92" s="22" t="inlineStr">
        <is>
          <t>212182608</t>
        </is>
      </c>
      <c r="V92" s="22" t="inlineStr">
        <is>
          <t>FTMTDMBR29C7</t>
        </is>
      </c>
      <c r="W92" s="22" t="inlineStr">
        <is>
          <t>BALTIMORE</t>
        </is>
      </c>
      <c r="X92" s="22" t="inlineStr">
        <is>
          <t>MD</t>
        </is>
      </c>
      <c r="Y92" s="22" t="inlineStr">
        <is>
          <t>BIO</t>
        </is>
      </c>
      <c r="Z92" s="22" t="inlineStr">
        <is>
          <t>MCB</t>
        </is>
      </c>
      <c r="AA92" s="23" t="inlineStr">
        <is>
          <t>Cellular Dynamics and Function</t>
        </is>
      </c>
      <c r="AB92" s="22" t="inlineStr">
        <is>
          <t>NANOSCALE BIO CORE</t>
        </is>
      </c>
      <c r="AC92" s="22" t="inlineStr">
        <is>
          <t>111400</t>
        </is>
      </c>
      <c r="AD92" s="22" t="inlineStr">
        <is>
          <t>7465</t>
        </is>
      </c>
      <c r="AE92" s="22" t="inlineStr">
        <is>
          <t>47.074</t>
        </is>
      </c>
      <c r="AF92" s="22" t="inlineStr">
        <is>
          <t>1</t>
        </is>
      </c>
      <c r="AG92" s="22" t="inlineStr">
        <is>
          <t>07/29/2025</t>
        </is>
      </c>
      <c r="AH92" s="22" t="inlineStr">
        <is>
          <t>07/29/2025</t>
        </is>
      </c>
      <c r="AI92" s="23" t="inlineStr">
        <is>
          <t>Cells use one third of their energy to produce proteins. Thus, cells require to precisely control protein production. Current knowledge of protein production regulation is based on mixing the contents of millions of cells to measure the average protein production rates. However, we now know that individual cells can behave differently than population averages. This research program will develop and apply new methods that allow measuring protein production in individual cells to determine when and where the regulatory events happen. These methods are based on measuring the speed of individual ribosomes (the protein production machines of the cell) in live cells. Evaluating thousands of ribosomes allows discerning when and how protein production, as well as other key functions of ribosomes such as UV or high temperature responses. More broadly, the research team will introduce high school students to the use of microscopy to study cellular and molecular biology processes. It will also develop courses to provide the basic skills needed for imaging of live cells, and how to use these skills to further our understanding of the fundamental principles of cellular and molecular biology. 
Live-cell biosensors have revolutionized our understanding of signaling and cell cycle regulation by enabling biochemical characterization of individual cells as they respond to environmental perturbation. However, many important biochemical parameters remain inaccessible through live single-cell approaches. Single-molecule tracking (SMT) approaches have allowed researchers in the chromatin regulation field to quantify the amount of DNA-bound vs. free proteins in live single cells. This is because proteins diffuse slowly when they are bound to DNA. The PI’s team has recently discovered that many other proteins, including translation factors and signaling proteins, show qualitatively distinct diffusion properties depending on the size and properties of the complex they are bound to. Thus, measuring the diffusion properties of thousands of single-molecule trajectories in live cells allows to qualitatively increase the number of biochemical parameters that can be measured at the single cell level. The specific objectives are: 1) Dissect global translation dynamics in live single cells, 2) Dissect global translation dynamics during UV radiation-induced ribotoxic stress response (RSR), and 3) Implement an educational plan to (a) expose high school students to imaging based cellular and molecular biology ,and (b) develop a graduate course elective to provide the basic skills and knowledge required for live cell imaging based molecular and cellular biology.
This award reflects NSF's statutory mission and has been deemed worthy of support through evaluation using the Foundation's intellectual merit and broader impacts review criteria.</t>
        </is>
      </c>
      <c r="AJ92" s="23" t="inlineStr"/>
    </row>
    <row r="93" ht="18" customHeight="1">
      <c r="A93" s="25" t="inlineStr">
        <is>
          <t>2510739</t>
        </is>
      </c>
      <c r="B93" s="26" t="inlineStr">
        <is>
          <t>Collaborative Research: Understanding the extreme diversity of atomic hydrogen depletion times in galaxies</t>
        </is>
      </c>
      <c r="C93" s="25" t="inlineStr">
        <is>
          <t>Standard Grant</t>
        </is>
      </c>
      <c r="D93" s="25" t="inlineStr">
        <is>
          <t>true</t>
        </is>
      </c>
      <c r="E93" s="25" t="inlineStr">
        <is>
          <t>08/14/2025</t>
        </is>
      </c>
      <c r="F93" s="25" t="inlineStr">
        <is>
          <t>09/01/2025</t>
        </is>
      </c>
      <c r="G93" s="25" t="inlineStr">
        <is>
          <t>08/31/2028</t>
        </is>
      </c>
      <c r="H93" s="25" t="inlineStr">
        <is>
          <t>2025</t>
        </is>
      </c>
      <c r="I93" s="27" t="n">
        <v>207818</v>
      </c>
      <c r="J93" s="27" t="n">
        <v>207818</v>
      </c>
      <c r="K93" s="25" t="inlineStr">
        <is>
          <t>David</t>
        </is>
      </c>
      <c r="L93" s="25" t="inlineStr">
        <is>
          <t>Stark</t>
        </is>
      </c>
      <c r="M93" s="25" t="inlineStr">
        <is>
          <t>dstark@stsci.edu</t>
        </is>
      </c>
      <c r="N93" s="25" t="inlineStr"/>
      <c r="O93" s="25" t="inlineStr">
        <is>
          <t>David V Stark</t>
        </is>
      </c>
      <c r="P93" s="25" t="inlineStr">
        <is>
          <t>Juan Madrid</t>
        </is>
      </c>
      <c r="Q93" s="25" t="inlineStr">
        <is>
          <t>jmadrid@nsf.gov</t>
        </is>
      </c>
      <c r="R93" s="25" t="inlineStr">
        <is>
          <t>THE JOHNS HOPKINS UNIVERSITY</t>
        </is>
      </c>
      <c r="S93" s="25" t="inlineStr">
        <is>
          <t>BALTIMORE</t>
        </is>
      </c>
      <c r="T93" s="25" t="inlineStr">
        <is>
          <t>MD</t>
        </is>
      </c>
      <c r="U93" s="25" t="inlineStr">
        <is>
          <t>212182608</t>
        </is>
      </c>
      <c r="V93" s="25" t="inlineStr">
        <is>
          <t>FTMTDMBR29C7</t>
        </is>
      </c>
      <c r="W93" s="25" t="inlineStr">
        <is>
          <t>BALTIMORE</t>
        </is>
      </c>
      <c r="X93" s="25" t="inlineStr">
        <is>
          <t>MD</t>
        </is>
      </c>
      <c r="Y93" s="25" t="inlineStr">
        <is>
          <t>MPS</t>
        </is>
      </c>
      <c r="Z93" s="25" t="inlineStr">
        <is>
          <t>AST</t>
        </is>
      </c>
      <c r="AA93" s="26" t="inlineStr">
        <is>
          <t>EXTRAGALACTIC ASTRON &amp; COSMOLO</t>
        </is>
      </c>
      <c r="AB93" s="25" t="inlineStr">
        <is>
          <t>THEORETICAL &amp; COMPUTATIONAL ASTROPHYSICS, OBSERVATIONAL ASTRONOMY</t>
        </is>
      </c>
      <c r="AC93" s="25" t="inlineStr">
        <is>
          <t>121700</t>
        </is>
      </c>
      <c r="AD93" s="25" t="inlineStr">
        <is>
          <t>1206, 1207</t>
        </is>
      </c>
      <c r="AE93" s="25" t="inlineStr">
        <is>
          <t>47.049</t>
        </is>
      </c>
      <c r="AF93" s="25" t="inlineStr">
        <is>
          <t>1</t>
        </is>
      </c>
      <c r="AG93" s="25" t="inlineStr">
        <is>
          <t>08/14/2025</t>
        </is>
      </c>
      <c r="AH93" s="25" t="inlineStr">
        <is>
          <t>08/14/2025</t>
        </is>
      </c>
      <c r="AI93" s="26" t="inlineStr">
        <is>
          <t>Stars form out of clouds of gas found in galaxies. Most of this gas is in the form of cold atoms of hydrogen, but before stars can form, this gas must undergo several chemical and physical processes that are poorly understood. The investigators leading this proposal will analyze data from both the NSF-funded Green Bank Telescope (GBT) and the Atacama Large Millimeter Array (ALMA), which can be used to measure the amounts of hydrogen gas in a broad sample of galaxies. They will use this to test how the depletion timescales of these gas reservoirs depend on other measured galaxy properties, placing important constraints on the growth of galaxies. At the same time, they will train undergraduate researchers in the techniques of radio astronomy.
This program seeks to understand the differences in atomic hydrogen (HI) depletion times using the SDSS-IV’s Mapping Nearby Galaxies at Apache Point Observatory (MaNGA) and HI-MaNGA (21cm follow-up for MaNGA) galaxy surveys to search for evidence of systematic variations due to (1) ionization/heating sources, (2) fractions of diffuse versus dense HI, and (3) internal motions (e.g., velocity dispersion and bulk non-rotational flows), all of which may alter the efficiency with which HI is processed. The investigators will add new data from the GBT and ALMA to quantify the molecular hydrogen (H2) fraction for a subset of galaxies to probe whether long HI depletion times are driven by inefficient H2 formation from HI or inefficient formation of stars out of H2. In parallel with these efforts, the investigator will use the GBT to fully complete the HI-MaNGA survey, improving its legacy value for the astronomical community.
This award reflects NSF's statutory mission and has been deemed worthy of support through evaluation using the Foundation's intellectual merit and broader impacts review criteria.</t>
        </is>
      </c>
      <c r="AJ93" s="26" t="inlineStr"/>
    </row>
    <row r="94" ht="18" customHeight="1">
      <c r="A94" s="22" t="inlineStr">
        <is>
          <t>2530651</t>
        </is>
      </c>
      <c r="B94" s="23" t="inlineStr">
        <is>
          <t>Defining Barriers to Nucleosome Mobility through Single-Molecule Manipulation</t>
        </is>
      </c>
      <c r="C94" s="22" t="inlineStr">
        <is>
          <t>Standard Grant</t>
        </is>
      </c>
      <c r="D94" s="22" t="inlineStr">
        <is>
          <t>true</t>
        </is>
      </c>
      <c r="E94" s="22" t="inlineStr">
        <is>
          <t>08/14/2025</t>
        </is>
      </c>
      <c r="F94" s="22" t="inlineStr">
        <is>
          <t>09/01/2025</t>
        </is>
      </c>
      <c r="G94" s="22" t="inlineStr">
        <is>
          <t>08/31/2029</t>
        </is>
      </c>
      <c r="H94" s="22" t="inlineStr">
        <is>
          <t>2025</t>
        </is>
      </c>
      <c r="I94" s="24" t="n">
        <v>1399593</v>
      </c>
      <c r="J94" s="24" t="n">
        <v>1399593</v>
      </c>
      <c r="K94" s="22" t="inlineStr">
        <is>
          <t>Gregory</t>
        </is>
      </c>
      <c r="L94" s="22" t="inlineStr">
        <is>
          <t>Bowman</t>
        </is>
      </c>
      <c r="M94" s="22" t="inlineStr">
        <is>
          <t>gdbowman@jhu.edu</t>
        </is>
      </c>
      <c r="N94" s="22" t="inlineStr"/>
      <c r="O94" s="22" t="inlineStr">
        <is>
          <t>Gregory D Bowman</t>
        </is>
      </c>
      <c r="P94" s="22" t="inlineStr">
        <is>
          <t>Manju Hingorani</t>
        </is>
      </c>
      <c r="Q94" s="22" t="inlineStr">
        <is>
          <t>mhingora@nsf.gov</t>
        </is>
      </c>
      <c r="R94" s="22" t="inlineStr">
        <is>
          <t>THE JOHNS HOPKINS UNIVERSITY</t>
        </is>
      </c>
      <c r="S94" s="22" t="inlineStr">
        <is>
          <t>BALTIMORE</t>
        </is>
      </c>
      <c r="T94" s="22" t="inlineStr">
        <is>
          <t>MD</t>
        </is>
      </c>
      <c r="U94" s="22" t="inlineStr">
        <is>
          <t>212182608</t>
        </is>
      </c>
      <c r="V94" s="22" t="inlineStr">
        <is>
          <t>FTMTDMBR29C7</t>
        </is>
      </c>
      <c r="W94" s="22" t="inlineStr">
        <is>
          <t>BALTIMORE</t>
        </is>
      </c>
      <c r="X94" s="22" t="inlineStr">
        <is>
          <t>MD</t>
        </is>
      </c>
      <c r="Y94" s="22" t="inlineStr">
        <is>
          <t>BIO</t>
        </is>
      </c>
      <c r="Z94" s="22" t="inlineStr">
        <is>
          <t>MCB</t>
        </is>
      </c>
      <c r="AA94" s="23" t="inlineStr">
        <is>
          <t>Chemistry of Life Processes, Genetic Mechanisms, Molecular Biophysics</t>
        </is>
      </c>
      <c r="AB94" s="22" t="inlineStr">
        <is>
          <t>NANOSCALE BIO CORE, Biotechnology</t>
        </is>
      </c>
      <c r="AC94" s="22" t="inlineStr">
        <is>
          <t>688300, 111200, 114400</t>
        </is>
      </c>
      <c r="AD94" s="22" t="inlineStr">
        <is>
          <t>7465, 8038</t>
        </is>
      </c>
      <c r="AE94" s="22" t="inlineStr">
        <is>
          <t>47.049, 47.074</t>
        </is>
      </c>
      <c r="AF94" s="22" t="inlineStr">
        <is>
          <t>1</t>
        </is>
      </c>
      <c r="AG94" s="22" t="inlineStr">
        <is>
          <t>08/14/2025</t>
        </is>
      </c>
      <c r="AH94" s="22" t="inlineStr">
        <is>
          <t>08/14/2025</t>
        </is>
      </c>
      <c r="AI94" s="23" t="inlineStr">
        <is>
          <t>Chromosomes consist of long DNA strands that hold the information coding for life. Chromosomes are extensively wrapped into spool-like structures called nucleosomes in all plants and animals, including humans. Nucleosome packaging provides the sophisticated levels of control needed for turning genes on and off and regulating cellular functions. This project is focused on understanding how nucleosomes slide along DNA and enable dynamic changes in its packaging. Nucleosomes can be actively moved by special enzymes called chromatin remodelers, but nucleosomes can also spontaneously slide within chromosomes. It is currently unclear how easily nucleosomes slide on natural DNA sequences, and how their mobility may be affected by other cellular factors. Nucleosomes are displaced and chromatin remodelers are often disrupted in diseases such as cancer; therefore, new information on nucleosome sliding will advance understanding of fundamental cellular processes important for human health. A new technique has been developed for this research that allows sensing of the force required to mechanically shift nucleosomes along DNA. This technique should be broadly useful to the scientific community for studying how chromosome-interacting factors affect DNA packaging. This project will offer research training opportunities for students in biochemical and biophysical science and includes outreach activities centered on DNA to engage middle school students in STEM. 
This project is designed to reveal how intrinsic mobility of the histone core on DNA is affected by DNA sequence, histone variants, and exogenous factors like RNA, transcription factors, and linker histones. This work will also determine the processivity and translocation speeds of ATP-dependent chromatin remodelers as they push nucleosomes along long DNA segments. These goals will be addressed by a combination of biochemistry, next-generation sequencing, and optical trap experiments. The results of these studies will provide new information about how nucleosomes are organized in native sequence contexts and reveal new ways of understanding how histone-DNA interactions intrinsically influence chromatin reorganization.
This project is supported by the Genetic Mechanisms and Molecular Biophysics programs in the Molecular and Cellular Biosciences Division of the Biological Sciences Directorate and by the Chemistry of Life Processes program in the Chemistry Division of the Mathematical and Physical Sciences Directorate.
This award reflects NSF's statutory mission and has been deemed worthy of support through evaluation using the Foundation's intellectual merit and broader impacts review criteria.</t>
        </is>
      </c>
      <c r="AJ94" s="23" t="inlineStr"/>
    </row>
    <row r="95" ht="18" customHeight="1">
      <c r="A95" s="25" t="inlineStr">
        <is>
          <t>2511283</t>
        </is>
      </c>
      <c r="B95" s="26" t="inlineStr">
        <is>
          <t>NSF-BSF: Learning from Ensemble Data:  trajectory recovery and flow-map inference for multiple systems</t>
        </is>
      </c>
      <c r="C95" s="25" t="inlineStr">
        <is>
          <t>Standard Grant</t>
        </is>
      </c>
      <c r="D95" s="25" t="inlineStr">
        <is>
          <t>true</t>
        </is>
      </c>
      <c r="E95" s="25" t="inlineStr">
        <is>
          <t>08/14/2025</t>
        </is>
      </c>
      <c r="F95" s="25" t="inlineStr">
        <is>
          <t>08/15/2025</t>
        </is>
      </c>
      <c r="G95" s="25" t="inlineStr">
        <is>
          <t>07/31/2028</t>
        </is>
      </c>
      <c r="H95" s="25" t="inlineStr">
        <is>
          <t>2025</t>
        </is>
      </c>
      <c r="I95" s="27" t="n">
        <v>209998</v>
      </c>
      <c r="J95" s="27" t="n">
        <v>209998</v>
      </c>
      <c r="K95" s="25" t="inlineStr">
        <is>
          <t>Fei</t>
        </is>
      </c>
      <c r="L95" s="25" t="inlineStr">
        <is>
          <t>Lu</t>
        </is>
      </c>
      <c r="M95" s="25" t="inlineStr">
        <is>
          <t>flu15@jhu.edu</t>
        </is>
      </c>
      <c r="N95" s="25" t="inlineStr"/>
      <c r="O95" s="25" t="inlineStr">
        <is>
          <t>Fei Lu</t>
        </is>
      </c>
      <c r="P95" s="25" t="inlineStr">
        <is>
          <t>Stacey Levine</t>
        </is>
      </c>
      <c r="Q95" s="25" t="inlineStr">
        <is>
          <t>slevine@nsf.gov</t>
        </is>
      </c>
      <c r="R95" s="25" t="inlineStr">
        <is>
          <t>THE JOHNS HOPKINS UNIVERSITY</t>
        </is>
      </c>
      <c r="S95" s="25" t="inlineStr">
        <is>
          <t>BALTIMORE</t>
        </is>
      </c>
      <c r="T95" s="25" t="inlineStr">
        <is>
          <t>MD</t>
        </is>
      </c>
      <c r="U95" s="25" t="inlineStr">
        <is>
          <t>212182608</t>
        </is>
      </c>
      <c r="V95" s="25" t="inlineStr">
        <is>
          <t>FTMTDMBR29C7</t>
        </is>
      </c>
      <c r="W95" s="25" t="inlineStr">
        <is>
          <t>BALTIMORE</t>
        </is>
      </c>
      <c r="X95" s="25" t="inlineStr">
        <is>
          <t>MD</t>
        </is>
      </c>
      <c r="Y95" s="25" t="inlineStr">
        <is>
          <t>MPS</t>
        </is>
      </c>
      <c r="Z95" s="25" t="inlineStr">
        <is>
          <t>DMS</t>
        </is>
      </c>
      <c r="AA95" s="26" t="inlineStr">
        <is>
          <t>APPLIED MATHEMATICS</t>
        </is>
      </c>
      <c r="AB95" s="25" t="inlineStr">
        <is>
          <t>Machine Learning Theory</t>
        </is>
      </c>
      <c r="AC95" s="25" t="inlineStr">
        <is>
          <t>126600</t>
        </is>
      </c>
      <c r="AD95" s="25" t="inlineStr">
        <is>
          <t>079Z</t>
        </is>
      </c>
      <c r="AE95" s="25" t="inlineStr">
        <is>
          <t>47.049</t>
        </is>
      </c>
      <c r="AF95" s="25" t="inlineStr">
        <is>
          <t>1</t>
        </is>
      </c>
      <c r="AG95" s="25" t="inlineStr">
        <is>
          <t>08/14/2025</t>
        </is>
      </c>
      <c r="AH95" s="25" t="inlineStr">
        <is>
          <t>08/14/2025</t>
        </is>
      </c>
      <c r="AI95" s="26" t="inlineStr">
        <is>
          <t>Understanding how complex systems evolve over time, from evolving opinions on social networks to the interactions of cells or genes, relies on reconstructing their underlying dynamics from observational data. Many experiments and measurements, however, only provide snapshots of system ensembles rather than complete trajectories, posing a significant challenge for data-driven modeling. This project will develop new mathematical and computational tools to learn the rules governing these high-dimensional systems directly from ensemble data. By doing so, the research will advance scientific discoveries using ensemble data and enable accurate predictions in fields ranging from medical imaging and biological dynamics to opinion dynamics modeling. The methods and software produced will be openly shared, providing hands-on training for undergraduate and graduate students, and establishing an international collaborative network that advances scientific knowledge and trains future researchers.
The project will introduce new theoretical and computational tools for learning dynamics from ensemble data. The research uses weak-form partial differential equations and gradient flows to enable learning from the empirical distributions of the ensemble data. It targets both single-system and cross-system learning by developing an automatic kernel regression and a task-specific attentional model. The research will establish mathematical foundations for both single-system and multi-system learning through theoretical analysis of identifiability and convergence rates. The resulting algorithms will be implemented in open-source software, and applied to exemplar problems in imaging and interacting particle systems. This work will advance mathematical theory and provide robust computational tools for data-driven scientific discovery.
This award reflects NSF's statutory mission and has been deemed worthy of support through evaluation using the Foundation's intellectual merit and broader impacts review criteria.</t>
        </is>
      </c>
      <c r="AJ95" s="26" t="inlineStr"/>
    </row>
    <row r="96" ht="18" customHeight="1">
      <c r="A96" s="22" t="inlineStr">
        <is>
          <t>2515049</t>
        </is>
      </c>
      <c r="B96" s="23" t="inlineStr">
        <is>
          <t>Approaches for Noise Robust Quantum Algorithm Design</t>
        </is>
      </c>
      <c r="C96" s="22" t="inlineStr">
        <is>
          <t>Standard Grant</t>
        </is>
      </c>
      <c r="D96" s="22" t="inlineStr">
        <is>
          <t>true</t>
        </is>
      </c>
      <c r="E96" s="22" t="inlineStr">
        <is>
          <t>08/15/2025</t>
        </is>
      </c>
      <c r="F96" s="22" t="inlineStr">
        <is>
          <t>08/15/2025</t>
        </is>
      </c>
      <c r="G96" s="22" t="inlineStr">
        <is>
          <t>07/31/2028</t>
        </is>
      </c>
      <c r="H96" s="22" t="inlineStr">
        <is>
          <t>2025</t>
        </is>
      </c>
      <c r="I96" s="24" t="n">
        <v>330000</v>
      </c>
      <c r="J96" s="24" t="n">
        <v>330000</v>
      </c>
      <c r="K96" s="22" t="inlineStr">
        <is>
          <t>Gregory</t>
        </is>
      </c>
      <c r="L96" s="22" t="inlineStr">
        <is>
          <t>Quiroz</t>
        </is>
      </c>
      <c r="M96" s="22" t="inlineStr">
        <is>
          <t>Gregory.Quiroz@jhuapl.edu</t>
        </is>
      </c>
      <c r="N96" s="22" t="inlineStr"/>
      <c r="O96" s="22" t="inlineStr">
        <is>
          <t>Gregory D Quiroz</t>
        </is>
      </c>
      <c r="P96" s="22" t="inlineStr">
        <is>
          <t>Alexander Cronin</t>
        </is>
      </c>
      <c r="Q96" s="22" t="inlineStr">
        <is>
          <t>acronin@nsf.gov</t>
        </is>
      </c>
      <c r="R96" s="22" t="inlineStr">
        <is>
          <t>THE JOHNS HOPKINS UNIVERSITY</t>
        </is>
      </c>
      <c r="S96" s="22" t="inlineStr">
        <is>
          <t>BALTIMORE</t>
        </is>
      </c>
      <c r="T96" s="22" t="inlineStr">
        <is>
          <t>MD</t>
        </is>
      </c>
      <c r="U96" s="22" t="inlineStr">
        <is>
          <t>212182608</t>
        </is>
      </c>
      <c r="V96" s="22" t="inlineStr">
        <is>
          <t>FTMTDMBR29C7</t>
        </is>
      </c>
      <c r="W96" s="22" t="inlineStr">
        <is>
          <t>Laurel</t>
        </is>
      </c>
      <c r="X96" s="22" t="inlineStr">
        <is>
          <t>MD</t>
        </is>
      </c>
      <c r="Y96" s="22" t="inlineStr">
        <is>
          <t>MPS</t>
        </is>
      </c>
      <c r="Z96" s="22" t="inlineStr">
        <is>
          <t>PHY</t>
        </is>
      </c>
      <c r="AA96" s="23" t="inlineStr">
        <is>
          <t>QIS - Quantum Information Scie, QISET-Quan Info Sci Eng &amp; Tech</t>
        </is>
      </c>
      <c r="AB96" s="22" t="inlineStr">
        <is>
          <t>QUANTUM INFORMATION SCIENCE</t>
        </is>
      </c>
      <c r="AC96" s="22" t="inlineStr">
        <is>
          <t>728100, 105Y00</t>
        </is>
      </c>
      <c r="AD96" s="22" t="inlineStr">
        <is>
          <t>7203</t>
        </is>
      </c>
      <c r="AE96" s="22" t="inlineStr">
        <is>
          <t>47.049</t>
        </is>
      </c>
      <c r="AF96" s="22" t="inlineStr">
        <is>
          <t>1</t>
        </is>
      </c>
      <c r="AG96" s="22" t="inlineStr">
        <is>
          <t>08/15/2025</t>
        </is>
      </c>
      <c r="AH96" s="22" t="inlineStr">
        <is>
          <t>08/15/2025</t>
        </is>
      </c>
      <c r="AI96" s="23" t="inlineStr">
        <is>
          <t>The research team aims to address the fundamental challenge of designing quantum algorithms with inherent noise robustness. While industry, government, and academia are investing heavily in realizing quantum computing, current devices remain limited by noise, which undermines their potential advantages.  The approach tackles this issue at the algorithmic level, embedding robustness into the structure and execution of the algorithm itself. This helps shift the burden of noise mitigation away from hardware and toward software. The researchers will focus on variational quantum algorithms (VQAs), a widely applicable class of algorithms spanning quantum chemistry, optimization, and machine learning. Success in this effort will advance the field of quantum computing and enable higher-performance quantum applications that drive scientific discovery. Moreover, this effort will aid in developing a quantum workforce that can immediately contribute to the challenges of today’s hardware while gaining knowledge relevant to future hardware.
Focusing specifically on algorithms that possess inherent symmetry, the proposed work leverages concepts from quantum control and quantum error correction. The research team will exploit this symmetry to develop a theoretical framework based on dynamical Lie algebras to characterize the propagation of noise through a VQA. This framework will be leveraged to identify algorithmic motifs inspired by dynamical decoupling and noise-filtering protocols to suppress symmetry-preserving errors. These techniques will be complemented by quantum error-avoiding codes to address symmetry-breaking noise. The integration of control and quantum codes will lead to hybrid protocols that can be tuned based on hardware specifications. Ultimately, the objective is to maximize algorithmic performance while minimizing gate and qubit resources to maintain practicality for existing and near-future quantum processors.
This award reflects NSF's statutory mission and has been deemed worthy of support through evaluation using the Foundation's intellectual merit and broader impacts review criteria.</t>
        </is>
      </c>
      <c r="AJ96" s="23" t="inlineStr"/>
    </row>
    <row r="97" ht="18" customHeight="1">
      <c r="A97" s="25" t="inlineStr">
        <is>
          <t>2513887</t>
        </is>
      </c>
      <c r="B97" s="26" t="inlineStr">
        <is>
          <t>Collaborative Research: Elements: SWXACE: Space Weather Explainable Analytics Cyber Ecosystem</t>
        </is>
      </c>
      <c r="C97" s="25" t="inlineStr">
        <is>
          <t>Standard Grant</t>
        </is>
      </c>
      <c r="D97" s="25" t="inlineStr">
        <is>
          <t>true</t>
        </is>
      </c>
      <c r="E97" s="25" t="inlineStr">
        <is>
          <t>07/15/2025</t>
        </is>
      </c>
      <c r="F97" s="25" t="inlineStr">
        <is>
          <t>08/15/2025</t>
        </is>
      </c>
      <c r="G97" s="25" t="inlineStr">
        <is>
          <t>07/31/2028</t>
        </is>
      </c>
      <c r="H97" s="25" t="inlineStr">
        <is>
          <t>2025</t>
        </is>
      </c>
      <c r="I97" s="27" t="n">
        <v>199800</v>
      </c>
      <c r="J97" s="27" t="n">
        <v>199800</v>
      </c>
      <c r="K97" s="25" t="inlineStr">
        <is>
          <t>Emmanouil</t>
        </is>
      </c>
      <c r="L97" s="25" t="inlineStr">
        <is>
          <t>Georgoulis</t>
        </is>
      </c>
      <c r="M97" s="25" t="inlineStr">
        <is>
          <t>manolis.georgoulis@jhuapl.edu</t>
        </is>
      </c>
      <c r="N97" s="25" t="inlineStr"/>
      <c r="O97" s="25" t="inlineStr">
        <is>
          <t>Emmanouil K Georgoulis</t>
        </is>
      </c>
      <c r="P97" s="25" t="inlineStr">
        <is>
          <t>Marlon Pierce</t>
        </is>
      </c>
      <c r="Q97" s="25" t="inlineStr">
        <is>
          <t>mpierce@nsf.gov</t>
        </is>
      </c>
      <c r="R97" s="25" t="inlineStr">
        <is>
          <t>THE JOHNS HOPKINS UNIVERSITY</t>
        </is>
      </c>
      <c r="S97" s="25" t="inlineStr">
        <is>
          <t>BALTIMORE</t>
        </is>
      </c>
      <c r="T97" s="25" t="inlineStr">
        <is>
          <t>MD</t>
        </is>
      </c>
      <c r="U97" s="25" t="inlineStr">
        <is>
          <t>212182608</t>
        </is>
      </c>
      <c r="V97" s="25" t="inlineStr">
        <is>
          <t>FTMTDMBR29C7</t>
        </is>
      </c>
      <c r="W97" s="25" t="inlineStr">
        <is>
          <t>Laurel</t>
        </is>
      </c>
      <c r="X97" s="25" t="inlineStr">
        <is>
          <t>MD</t>
        </is>
      </c>
      <c r="Y97" s="25" t="inlineStr">
        <is>
          <t>CSE</t>
        </is>
      </c>
      <c r="Z97" s="25" t="inlineStr">
        <is>
          <t>OAC</t>
        </is>
      </c>
      <c r="AA97" s="26" t="inlineStr">
        <is>
          <t>Software Institutes, Space Weather Research, GEO CI - GEO Cyberinfrastrctre</t>
        </is>
      </c>
      <c r="AB97" s="25" t="inlineStr">
        <is>
          <t>INTERDISCIPLINARY PROPOSALS, SMALL PROJECT, Software Institutes, Space Weather Research</t>
        </is>
      </c>
      <c r="AC97" s="25" t="inlineStr">
        <is>
          <t>800400, 808900, 243Y00</t>
        </is>
      </c>
      <c r="AD97" s="25" t="inlineStr">
        <is>
          <t>4444, 7923, 8004, 8092</t>
        </is>
      </c>
      <c r="AE97" s="25" t="inlineStr">
        <is>
          <t>47.050, 47.070</t>
        </is>
      </c>
      <c r="AF97" s="25" t="inlineStr">
        <is>
          <t>1</t>
        </is>
      </c>
      <c r="AG97" s="25" t="inlineStr">
        <is>
          <t>07/15/2025</t>
        </is>
      </c>
      <c r="AH97" s="25" t="inlineStr">
        <is>
          <t>07/15/2025</t>
        </is>
      </c>
      <c r="AI97" s="26" t="inlineStr">
        <is>
          <t>The sun routinely produces powerful bursts of energy, such as solar flares and coronal mass ejections, that can travel through space and impact Earth. These solar eruptions are major drivers of space weather, posing serious risks to critical technologies that support everyday life, including GPS systems, power grids, communication satellites, and aviation safety. While there are many space weather forecasting methods available, their long-term reliability and transparency remain major concerns for stakeholders, including scientists, policymakers, engineers, and emergency response planners. Most space weather forecasting methods operate as "black boxes," where predictions are made without clear explanations of how or why certain outcomes are reached. This lack of interpretability reduces trust in the models and limits their practical value in high-stakes decision-making situations. This project addresses this challenge by developing data-driven learning methods that are not only accurate but also explainable. By building these innovative tools to help scientists and decision-makers understand how solar activity connects to space weather events and how predictive models reach their conclusions, the project enhances the accountability, transparency, and usability of space weather forecasts.
This project develops modular cyberinfrastructure for interpretable and explainable space weather prediction systems, with a focus on solar transient events. These efforts advance both heliophysics and the field of explainable artificial intelligence. The research integrates cutting-edge methods in interpretable machine learning, uncertainty quantification, and feature attribution to assess how prediction systems perform under diverse, multimodal data sources. Key cyberinfrastructure contributions include (1) Self-interpretable multivariate time series classification models for transient event prediction; (2) Post hoc explainable artificial intelligence methods for image-based and multimodal predictors; and (3) Uncertainty-aware prediction using conformalized techniques to produce reliable, probabilistic forecasts. These components will be delivered through an open-source, reusable framework for prediction, explanation, and visualization, designed for both research and operational use. The infrastructure will enable large-scale experiments with a focus on local/global interpretability and uncertainty quantification in space weather analytics. The project’s three main goals are (1) advancing understanding of solar eruption precursors via interpretable machine learning; (2) contributing new explainable artificial intelligence techniques tailored to high-dimensional, spatiotemporal data; and (3) supporting the complete research-to-operations path and the research-to-operations-to-research loop through trustworthy, actionable forecasting tools. The outcomes of this research will bridge fundamental solar physics and modern data science to deliver both domain-specific insights and reusable tools for science-grade machine learning.
This award by the Office of Advanced Cyberinfrastructure is jointly supported by the Division of Atmospheric and Geospace Sciences and the Division of Research, Innovation, Synergies and Education in the Directorate of Geosciences.
This award reflects NSF's statutory mission and has been deemed worthy of support through evaluation using the Foundation's intellectual merit and broader impacts review criteria.</t>
        </is>
      </c>
      <c r="AJ97" s="26" t="inlineStr"/>
    </row>
    <row r="98" ht="18" customHeight="1">
      <c r="A98" s="22" t="inlineStr">
        <is>
          <t>2426201</t>
        </is>
      </c>
      <c r="B98" s="23" t="inlineStr">
        <is>
          <t>Collaborative Research:  Super Dual Auroral Radar Network (SuperDARN) Facility Research and Operations--Imaging Convection at Small Scales Globally</t>
        </is>
      </c>
      <c r="C98" s="22" t="inlineStr">
        <is>
          <t>Continuing Grant</t>
        </is>
      </c>
      <c r="D98" s="22" t="inlineStr">
        <is>
          <t>true</t>
        </is>
      </c>
      <c r="E98" s="22" t="inlineStr">
        <is>
          <t>07/14/2025</t>
        </is>
      </c>
      <c r="F98" s="22" t="inlineStr">
        <is>
          <t>08/15/2025</t>
        </is>
      </c>
      <c r="G98" s="22" t="inlineStr">
        <is>
          <t>07/31/2028</t>
        </is>
      </c>
      <c r="H98" s="22" t="inlineStr">
        <is>
          <t>2025</t>
        </is>
      </c>
      <c r="I98" s="24" t="n">
        <v>377316</v>
      </c>
      <c r="J98" s="24" t="n">
        <v>575000</v>
      </c>
      <c r="K98" s="22" t="inlineStr">
        <is>
          <t>Alex</t>
        </is>
      </c>
      <c r="L98" s="22" t="inlineStr">
        <is>
          <t>Chartier</t>
        </is>
      </c>
      <c r="M98" s="22" t="inlineStr">
        <is>
          <t>alex.chartier@jhuapl.edu</t>
        </is>
      </c>
      <c r="N98" s="22" t="inlineStr"/>
      <c r="O98" s="22" t="inlineStr">
        <is>
          <t>Alex T Chartier</t>
        </is>
      </c>
      <c r="P98" s="22" t="inlineStr">
        <is>
          <t>Lina Patino</t>
        </is>
      </c>
      <c r="Q98" s="22" t="inlineStr">
        <is>
          <t>lpatino@nsf.gov</t>
        </is>
      </c>
      <c r="R98" s="22" t="inlineStr">
        <is>
          <t>THE JOHNS HOPKINS UNIVERSITY</t>
        </is>
      </c>
      <c r="S98" s="22" t="inlineStr">
        <is>
          <t>BALTIMORE</t>
        </is>
      </c>
      <c r="T98" s="22" t="inlineStr">
        <is>
          <t>MD</t>
        </is>
      </c>
      <c r="U98" s="22" t="inlineStr">
        <is>
          <t>212182608</t>
        </is>
      </c>
      <c r="V98" s="22" t="inlineStr">
        <is>
          <t>FTMTDMBR29C7</t>
        </is>
      </c>
      <c r="W98" s="22" t="inlineStr">
        <is>
          <t>Laurel</t>
        </is>
      </c>
      <c r="X98" s="22" t="inlineStr">
        <is>
          <t>MD</t>
        </is>
      </c>
      <c r="Y98" s="22" t="inlineStr">
        <is>
          <t>GEO</t>
        </is>
      </c>
      <c r="Z98" s="22" t="inlineStr">
        <is>
          <t>AGS</t>
        </is>
      </c>
      <c r="AA98" s="23" t="inlineStr">
        <is>
          <t>Upper Atmospheric Facilities</t>
        </is>
      </c>
      <c r="AB98" s="22" t="inlineStr"/>
      <c r="AC98" s="22" t="inlineStr">
        <is>
          <t>420200</t>
        </is>
      </c>
      <c r="AD98" s="22" t="inlineStr"/>
      <c r="AE98" s="22" t="inlineStr">
        <is>
          <t>47.050</t>
        </is>
      </c>
      <c r="AF98" s="22" t="inlineStr">
        <is>
          <t>1</t>
        </is>
      </c>
      <c r="AG98" s="22" t="inlineStr">
        <is>
          <t>07/14/2025</t>
        </is>
      </c>
      <c r="AH98" s="22" t="inlineStr">
        <is>
          <t>08/19/2025</t>
        </is>
      </c>
      <c r="AI98" s="23" t="inlineStr">
        <is>
          <t>The Super Dual Auroral Radar Network, or SuperDARN, is an international collaborative experiment for observations of plasma motions in Earth’s upper atmosphere. By observing ionospheric plasma motions, a multitude of geophysical processes are being studied. These processes range from fundamental plasma instabilities to the global-scale plasma response to changes in the solar-terrestrial environment. Each of these areas of study contributes to developing an understanding of the coupling of energy from the Sun into Earth’s upper atmosphere and its effects on humanity and technological systems. 
This project will support operations and maintenance of the U.S. SuperDARN radars in the northern hemisphere by the consortium of Penn State University, Virginia Tech, Dartmouth College, and the Johns Hopkins University Applied Physics Laboratory. The collaboration operates twelve radars that cover a vast region from Alaska to Iceland at high latitudes, and Oregon to Virginia at middle latitudes. In addition to operation and maintenance activities, the project will support a program of research that exploits new capabilities that have been developed over the last several years. This includes providing improved fidelity in measurements (plasma convection mapping and imaging), extending the area over which measurements are obtained (bistatic observations), and providing new types of measurements (sounding). SuperDARN has a long-standing commitment to including graduate students in all aspects of the program. The SuperDARN observations are also important for space weather applications since HF radio propagation is sensitive to perturbations in the bottomside ionosphere, e.g., solar flares.
This award reflects NSF's statutory mission and has been deemed worthy of support through evaluation using the Foundation's intellectual merit and broader impacts review criteria.</t>
        </is>
      </c>
      <c r="AJ98" s="23" t="inlineStr"/>
    </row>
    <row r="99" ht="18" customHeight="1">
      <c r="A99" s="25" t="inlineStr">
        <is>
          <t>2504626</t>
        </is>
      </c>
      <c r="B99" s="26" t="inlineStr">
        <is>
          <t>Collaborative Research: CIF: Medium: Post-Modern Min-Max Optimization Theory: Departure from Classical Minimization Theory</t>
        </is>
      </c>
      <c r="C99" s="25" t="inlineStr">
        <is>
          <t>Standard Grant</t>
        </is>
      </c>
      <c r="D99" s="25" t="inlineStr">
        <is>
          <t>true</t>
        </is>
      </c>
      <c r="E99" s="25" t="inlineStr">
        <is>
          <t>07/08/2025</t>
        </is>
      </c>
      <c r="F99" s="25" t="inlineStr">
        <is>
          <t>08/15/2025</t>
        </is>
      </c>
      <c r="G99" s="25" t="inlineStr">
        <is>
          <t>07/31/2028</t>
        </is>
      </c>
      <c r="H99" s="25" t="inlineStr">
        <is>
          <t>2025</t>
        </is>
      </c>
      <c r="I99" s="27" t="n">
        <v>525000</v>
      </c>
      <c r="J99" s="27" t="n">
        <v>525000</v>
      </c>
      <c r="K99" s="25" t="inlineStr">
        <is>
          <t>Nicolas</t>
        </is>
      </c>
      <c r="L99" s="25" t="inlineStr">
        <is>
          <t>Loizou</t>
        </is>
      </c>
      <c r="M99" s="25" t="inlineStr">
        <is>
          <t>nloizou@jhu.edu</t>
        </is>
      </c>
      <c r="N99" s="25" t="inlineStr"/>
      <c r="O99" s="25" t="inlineStr">
        <is>
          <t>Nicolas Loizou</t>
        </is>
      </c>
      <c r="P99" s="25" t="inlineStr">
        <is>
          <t>Phillip Regalia</t>
        </is>
      </c>
      <c r="Q99" s="25" t="inlineStr">
        <is>
          <t>pregalia@nsf.gov</t>
        </is>
      </c>
      <c r="R99" s="25" t="inlineStr">
        <is>
          <t>THE JOHNS HOPKINS UNIVERSITY</t>
        </is>
      </c>
      <c r="S99" s="25" t="inlineStr">
        <is>
          <t>BALTIMORE</t>
        </is>
      </c>
      <c r="T99" s="25" t="inlineStr">
        <is>
          <t>MD</t>
        </is>
      </c>
      <c r="U99" s="25" t="inlineStr">
        <is>
          <t>212182608</t>
        </is>
      </c>
      <c r="V99" s="25" t="inlineStr">
        <is>
          <t>FTMTDMBR29C7</t>
        </is>
      </c>
      <c r="W99" s="25" t="inlineStr">
        <is>
          <t>BALTIMORE</t>
        </is>
      </c>
      <c r="X99" s="25" t="inlineStr">
        <is>
          <t>MD</t>
        </is>
      </c>
      <c r="Y99" s="25" t="inlineStr">
        <is>
          <t>CSE</t>
        </is>
      </c>
      <c r="Z99" s="25" t="inlineStr">
        <is>
          <t>CCF</t>
        </is>
      </c>
      <c r="AA99" s="26" t="inlineStr">
        <is>
          <t>Comm &amp; Information Foundations</t>
        </is>
      </c>
      <c r="AB99" s="25" t="inlineStr">
        <is>
          <t>Machine Learning Theory, COMM &amp; INFORMATION FOUNDATIONS, MEDIUM PROJECT, SIGNAL PROCESSING</t>
        </is>
      </c>
      <c r="AC99" s="25" t="inlineStr">
        <is>
          <t>779700</t>
        </is>
      </c>
      <c r="AD99" s="25" t="inlineStr">
        <is>
          <t>079Z, 7797, 7924, 7936</t>
        </is>
      </c>
      <c r="AE99" s="25" t="inlineStr">
        <is>
          <t>47.070</t>
        </is>
      </c>
      <c r="AF99" s="25" t="inlineStr">
        <is>
          <t>1</t>
        </is>
      </c>
      <c r="AG99" s="25" t="inlineStr">
        <is>
          <t>07/08/2025</t>
        </is>
      </c>
      <c r="AH99" s="25" t="inlineStr">
        <is>
          <t>07/08/2025</t>
        </is>
      </c>
      <c r="AI99" s="26" t="inlineStr">
        <is>
          <t>Min-max optimization underpins technologies ranging from generative Artificial Intelligence (AI) to large-scale reinforcement learning, yet today’s methods remain slow and unreliable for many real-world tasks. This suboptimality stems from the traditional approach of adapting minimization techniques to the min-max setup, which necessarily overlooks the unique complexities inherent in min-max problems. This project fundamentally revises this approach, developing specialized theoretical frameworks and efficient algorithms tailored explicitly to min-max optimization. By establishing a deeper understanding of these unique characteristics, the proposed research will significantly enhance the efficiency and robustness of min-max optimization, directly impacting practical applications in machine learning and artificial intelligence.
Technically, this project will first explore core theoretical foundations under idealized convex-concave conditions, emphasizing accelerated convergence through anchor-type algorithms and enhanced stochastic methods with relaxed assumptions. Building upon this, the project will also develop practical algorithms that are robust to realistic, non-ideal conditions, including methods for nonconvex problems, efficient sampling strategies for stochastic settings, and adaptive update rules. Additionally, the research will investigate efficient alternating-update strategies, proximal gradient-type methods, and applications to training deep neural networks. These efforts are anticipated to greatly enrich the mathematical tools of min-max optimization and to lead to the discovery of more practically efficient algorithms.
This award reflects NSF's statutory mission and has been deemed worthy of support through evaluation using the Foundation's intellectual merit and broader impacts review criteria.</t>
        </is>
      </c>
      <c r="AJ99" s="26" t="inlineStr"/>
    </row>
    <row r="100" ht="18" customHeight="1">
      <c r="A100" s="22" t="inlineStr">
        <is>
          <t>2453689</t>
        </is>
      </c>
      <c r="B100" s="23" t="inlineStr">
        <is>
          <t>Collaborative Research: NSF-BSF: Geometric Properties of Stationary Measures for Smooth Iterated Function Systems</t>
        </is>
      </c>
      <c r="C100" s="22" t="inlineStr">
        <is>
          <t>Standard Grant</t>
        </is>
      </c>
      <c r="D100" s="22" t="inlineStr">
        <is>
          <t>true</t>
        </is>
      </c>
      <c r="E100" s="22" t="inlineStr">
        <is>
          <t>08/15/2025</t>
        </is>
      </c>
      <c r="F100" s="22" t="inlineStr">
        <is>
          <t>08/15/2025</t>
        </is>
      </c>
      <c r="G100" s="22" t="inlineStr">
        <is>
          <t>07/31/2028</t>
        </is>
      </c>
      <c r="H100" s="22" t="inlineStr">
        <is>
          <t>2025</t>
        </is>
      </c>
      <c r="I100" s="24" t="n">
        <v>275000</v>
      </c>
      <c r="J100" s="24" t="n">
        <v>275000</v>
      </c>
      <c r="K100" s="22" t="inlineStr">
        <is>
          <t>Zhiren</t>
        </is>
      </c>
      <c r="L100" s="22" t="inlineStr">
        <is>
          <t>Wang</t>
        </is>
      </c>
      <c r="M100" s="22" t="inlineStr">
        <is>
          <t>zhiren.w@gmail.com</t>
        </is>
      </c>
      <c r="N100" s="22" t="inlineStr"/>
      <c r="O100" s="22" t="inlineStr">
        <is>
          <t>Zhiren Wang</t>
        </is>
      </c>
      <c r="P100" s="22" t="inlineStr">
        <is>
          <t>Marian Bocea</t>
        </is>
      </c>
      <c r="Q100" s="22" t="inlineStr">
        <is>
          <t>mbocea@nsf.gov</t>
        </is>
      </c>
      <c r="R100" s="22" t="inlineStr">
        <is>
          <t>THE JOHNS HOPKINS UNIVERSITY</t>
        </is>
      </c>
      <c r="S100" s="22" t="inlineStr">
        <is>
          <t>BALTIMORE</t>
        </is>
      </c>
      <c r="T100" s="22" t="inlineStr">
        <is>
          <t>MD</t>
        </is>
      </c>
      <c r="U100" s="22" t="inlineStr">
        <is>
          <t>212182608</t>
        </is>
      </c>
      <c r="V100" s="22" t="inlineStr">
        <is>
          <t>FTMTDMBR29C7</t>
        </is>
      </c>
      <c r="W100" s="22" t="inlineStr">
        <is>
          <t>BALTIMORE</t>
        </is>
      </c>
      <c r="X100" s="22" t="inlineStr">
        <is>
          <t>MD</t>
        </is>
      </c>
      <c r="Y100" s="22" t="inlineStr">
        <is>
          <t>MPS</t>
        </is>
      </c>
      <c r="Z100" s="22" t="inlineStr">
        <is>
          <t>DMS</t>
        </is>
      </c>
      <c r="AA100" s="23" t="inlineStr">
        <is>
          <t>ANALYSIS PROGRAM</t>
        </is>
      </c>
      <c r="AB100" s="22" t="inlineStr"/>
      <c r="AC100" s="22" t="inlineStr">
        <is>
          <t>128100</t>
        </is>
      </c>
      <c r="AD100" s="22" t="inlineStr"/>
      <c r="AE100" s="22" t="inlineStr">
        <is>
          <t>47.049</t>
        </is>
      </c>
      <c r="AF100" s="22" t="inlineStr">
        <is>
          <t>1</t>
        </is>
      </c>
      <c r="AG100" s="22" t="inlineStr">
        <is>
          <t>08/15/2025</t>
        </is>
      </c>
      <c r="AH100" s="22" t="inlineStr">
        <is>
          <t>08/15/2025</t>
        </is>
      </c>
      <c r="AI100" s="23" t="inlineStr">
        <is>
          <t>This project belongs to the field of dynamical systems, which is the mathematical study of processes that evolve over time according to fixed rules. These processes often exhibit complicated and chaotic behavior yet display underlying patterns that can be described in terms of stationary measures, that is, certain probabilistic objects that remain stable as the underlying dynamics evolve. The focus here is on stationary measures that arise in nonlinear systems, with particular attention to their geometric and analytic structure. The goal is to understand when such measures are absolutely continuous, when their Fourier transform decays, and how these properties relate to the dynamics that generate them. The work will bring together researchers based in the United States and Israel and will involve the training of graduate students and postdoctoral fellows. A particular emphasis will be placed on maintaining strong collaborative ties between research groups working in dynamics, geometry, and analysis.
The main technical goal of this project is to study the regularity and dimension of stationary measures arising from nonlinear actions, such as self-conformal systems and random matrix products. When the maps involved are real analytic and satisfy appropriate separation properties, one expects to be able to compute their dimension in simple terms such as entropy and Lyapunov exponents, and to determine whether they are absolutely continuous. The project aims to establish these properties by studying the behavior of the system under repeated iteration and by using tools that reveal how randomness and geometry interact at different scales. The project will develop via methods from hyperbolic dynamics, harmonic analysis, homogeneous dynamics, spectral theory of transfer operators, and additive combinatorics. These include the use of appropriate disintegrations of measures, spectral gaps for transfer operators under appropriate assumptions, and comparisons between different criteria for separation. The broader aim is to clarify how non-linearity results in stationary measures enjoying rich multiscale structures, which in turn governs their analytic and geometric properties, and to use this understanding to characterize rigidity and regularity phenomena in these systems.
This award reflects NSF's statutory mission and has been deemed worthy of support through evaluation using the Foundation's intellectual merit and broader impacts review criteria.</t>
        </is>
      </c>
      <c r="AJ100" s="23" t="inlineStr"/>
    </row>
    <row r="101" ht="18" customHeight="1">
      <c r="A101" s="25" t="inlineStr">
        <is>
          <t>2504115</t>
        </is>
      </c>
      <c r="B101" s="26" t="inlineStr">
        <is>
          <t>Characterizing transposable element contributions to the transcriptome with evidence-based and inferential methods</t>
        </is>
      </c>
      <c r="C101" s="25" t="inlineStr">
        <is>
          <t>Standard Grant</t>
        </is>
      </c>
      <c r="D101" s="25" t="inlineStr">
        <is>
          <t>true</t>
        </is>
      </c>
      <c r="E101" s="25" t="inlineStr">
        <is>
          <t>08/14/2025</t>
        </is>
      </c>
      <c r="F101" s="25" t="inlineStr">
        <is>
          <t>08/01/2025</t>
        </is>
      </c>
      <c r="G101" s="25" t="inlineStr">
        <is>
          <t>07/31/2028</t>
        </is>
      </c>
      <c r="H101" s="25" t="inlineStr">
        <is>
          <t>2025</t>
        </is>
      </c>
      <c r="I101" s="27" t="n">
        <v>875379</v>
      </c>
      <c r="J101" s="27" t="n">
        <v>875379</v>
      </c>
      <c r="K101" s="25" t="inlineStr">
        <is>
          <t>Liliana</t>
        </is>
      </c>
      <c r="L101" s="25" t="inlineStr">
        <is>
          <t>Florea</t>
        </is>
      </c>
      <c r="M101" s="25" t="inlineStr">
        <is>
          <t>florea@jhu.edu</t>
        </is>
      </c>
      <c r="N101" s="25" t="inlineStr"/>
      <c r="O101" s="25" t="inlineStr">
        <is>
          <t>Liliana D Florea</t>
        </is>
      </c>
      <c r="P101" s="25" t="inlineStr">
        <is>
          <t>Krisztina Varga</t>
        </is>
      </c>
      <c r="Q101" s="25" t="inlineStr">
        <is>
          <t>kvarga@nsf.gov</t>
        </is>
      </c>
      <c r="R101" s="25" t="inlineStr">
        <is>
          <t>THE JOHNS HOPKINS UNIVERSITY</t>
        </is>
      </c>
      <c r="S101" s="25" t="inlineStr">
        <is>
          <t>BALTIMORE</t>
        </is>
      </c>
      <c r="T101" s="25" t="inlineStr">
        <is>
          <t>MD</t>
        </is>
      </c>
      <c r="U101" s="25" t="inlineStr">
        <is>
          <t>212182608</t>
        </is>
      </c>
      <c r="V101" s="25" t="inlineStr">
        <is>
          <t>FTMTDMBR29C7</t>
        </is>
      </c>
      <c r="W101" s="25" t="inlineStr">
        <is>
          <t>BALTIMORE</t>
        </is>
      </c>
      <c r="X101" s="25" t="inlineStr">
        <is>
          <t>MD</t>
        </is>
      </c>
      <c r="Y101" s="25" t="inlineStr">
        <is>
          <t>BIO</t>
        </is>
      </c>
      <c r="Z101" s="25" t="inlineStr">
        <is>
          <t>DBI</t>
        </is>
      </c>
      <c r="AA101" s="26" t="inlineStr">
        <is>
          <t>Innovation: Bioinformatics</t>
        </is>
      </c>
      <c r="AB101" s="25" t="inlineStr">
        <is>
          <t>ADVANCES IN BIO INFORMATICS</t>
        </is>
      </c>
      <c r="AC101" s="25" t="inlineStr">
        <is>
          <t>164Y00</t>
        </is>
      </c>
      <c r="AD101" s="25" t="inlineStr">
        <is>
          <t>1165</t>
        </is>
      </c>
      <c r="AE101" s="25" t="inlineStr">
        <is>
          <t>47.074</t>
        </is>
      </c>
      <c r="AF101" s="25" t="inlineStr">
        <is>
          <t>1</t>
        </is>
      </c>
      <c r="AG101" s="25" t="inlineStr">
        <is>
          <t>08/14/2025</t>
        </is>
      </c>
      <c r="AH101" s="25" t="inlineStr">
        <is>
          <t>08/14/2025</t>
        </is>
      </c>
      <c r="AI101" s="26" t="inlineStr">
        <is>
          <t>Transposable elements (TEs), also known as ‘jumping genes,’ are DNA sequences that can change or duplicate their position within a genome. Particularly, when a new copy is inserted into a gene by a process called exonization, it creates new genetic material that contributes to new variations and functions within a species and, over time, to the evolution of new species. One class of TEs, called Alu, accounts for thousands of primate- and human-specific proteins, potentially creating ‘programs’ to control essential cell functions such as tissue type and immune response. However, the extent and role of exonized TEs in humans and other species are largely unknown. The project will produce an innovative entirely computational methodology to predict TE exonization for a variety of species and TE families. It will develop a deep learning model that can predict exonization directly from the genome sequence without the need for extensive gene and tissue surveys. It will utilize the model to identify Alu exonization events in humans and several primates and compare them to identify common and specific traits. Lastly, focusing on genome sequences from a multi-ethnic population cohort will help answer questions about the ongoing contributions of Alu insertions to genetic variation in humans. The knowledge, methods and resources generated, including software tools and educational and science popularization materials, will help support biologists in more comprehensively analyzing genomes, contribute to public awareness of this class of gene plasticity events, and provide new tools to understand the molecular bases of human traits.
The project will develop a flexible deep learning model that biologists can use to annotate and study transposable element (TE) exonization in a wide range of species and for different TE families. Using the model and existing RNA sequencing data, it will create and comparatively analyze an unprecedented collection of annotations of Alu exonization events and regulatory features in the genomes of humans and several primate species, at different evolutionary time points, including very recent polymorphic Alu insertions observed in a large multi-ethnic population cohort. All methods, annotations and software tools will be available free of charge from public repositories. Additionally, the project will create electronic teaching and training modules on how to use the software, as well as educational art videos on the process and functional implications of TE exonization in biology and as a source of variation in the human population. Lastly, it will create opportunities for training and education from high school through graduate levels through research programs and summer internships.
This award reflects NSF's statutory mission and has been deemed worthy of support through evaluation using the Foundation's intellectual merit and broader impacts review criteria.</t>
        </is>
      </c>
      <c r="AJ101" s="26" t="inlineStr"/>
    </row>
    <row r="102" ht="18" customHeight="1">
      <c r="A102" s="22" t="inlineStr">
        <is>
          <t>2515214</t>
        </is>
      </c>
      <c r="B102" s="23" t="inlineStr">
        <is>
          <t>EFRI BEGIN OI: Improving Learning of Embodied Organoid Intelligence Through Reward-Based Training</t>
        </is>
      </c>
      <c r="C102" s="22" t="inlineStr">
        <is>
          <t>Standard Grant</t>
        </is>
      </c>
      <c r="D102" s="22" t="inlineStr">
        <is>
          <t>true</t>
        </is>
      </c>
      <c r="E102" s="22" t="inlineStr">
        <is>
          <t>08/15/2025</t>
        </is>
      </c>
      <c r="F102" s="22" t="inlineStr">
        <is>
          <t>08/01/2025</t>
        </is>
      </c>
      <c r="G102" s="22" t="inlineStr">
        <is>
          <t>07/31/2029</t>
        </is>
      </c>
      <c r="H102" s="22" t="inlineStr">
        <is>
          <t>2025</t>
        </is>
      </c>
      <c r="I102" s="24" t="n">
        <v>1999508</v>
      </c>
      <c r="J102" s="24" t="n">
        <v>1999508</v>
      </c>
      <c r="K102" s="22" t="inlineStr">
        <is>
          <t>Thomas</t>
        </is>
      </c>
      <c r="L102" s="22" t="inlineStr">
        <is>
          <t>Hartung</t>
        </is>
      </c>
      <c r="M102" s="22" t="inlineStr">
        <is>
          <t>thartun1@jhu.edu</t>
        </is>
      </c>
      <c r="N102" s="22" t="inlineStr">
        <is>
          <t>David Gracias dgracias@jhu.edu, Lena Smirnova lena.smirnova@jhu.edu, Erik C Johnson erik.c.johnson@jhuapl.edu, Jonathan L Boyd jboyd43@jh.edu</t>
        </is>
      </c>
      <c r="O102" s="22" t="inlineStr">
        <is>
          <t>Thomas Hartung</t>
        </is>
      </c>
      <c r="P102" s="22" t="inlineStr">
        <is>
          <t>Alias Smith</t>
        </is>
      </c>
      <c r="Q102" s="22" t="inlineStr">
        <is>
          <t>alismith@nsf.gov</t>
        </is>
      </c>
      <c r="R102" s="22" t="inlineStr">
        <is>
          <t>THE JOHNS HOPKINS UNIVERSITY</t>
        </is>
      </c>
      <c r="S102" s="22" t="inlineStr">
        <is>
          <t>BALTIMORE</t>
        </is>
      </c>
      <c r="T102" s="22" t="inlineStr">
        <is>
          <t>MD</t>
        </is>
      </c>
      <c r="U102" s="22" t="inlineStr">
        <is>
          <t>212182608</t>
        </is>
      </c>
      <c r="V102" s="22" t="inlineStr">
        <is>
          <t>FTMTDMBR29C7</t>
        </is>
      </c>
      <c r="W102" s="22" t="inlineStr">
        <is>
          <t>BALTIMORE</t>
        </is>
      </c>
      <c r="X102" s="22" t="inlineStr">
        <is>
          <t>MD</t>
        </is>
      </c>
      <c r="Y102" s="22" t="inlineStr">
        <is>
          <t>ENG</t>
        </is>
      </c>
      <c r="Z102" s="22" t="inlineStr">
        <is>
          <t>EFMA</t>
        </is>
      </c>
      <c r="AA102" s="23" t="inlineStr">
        <is>
          <t>EFRI Research Projects</t>
        </is>
      </c>
      <c r="AB102" s="22" t="inlineStr"/>
      <c r="AC102" s="22" t="inlineStr">
        <is>
          <t>763300</t>
        </is>
      </c>
      <c r="AD102" s="22" t="inlineStr"/>
      <c r="AE102" s="22" t="inlineStr">
        <is>
          <t>47.041</t>
        </is>
      </c>
      <c r="AF102" s="22" t="inlineStr">
        <is>
          <t>1</t>
        </is>
      </c>
      <c r="AG102" s="22" t="inlineStr">
        <is>
          <t>08/15/2025</t>
        </is>
      </c>
      <c r="AH102" s="22" t="inlineStr">
        <is>
          <t>08/26/2025</t>
        </is>
      </c>
      <c r="AI102" s="23" t="inlineStr">
        <is>
          <t>Organoid intelligence (OI) is an emerging field that aims to harness the computational power of brain organoids for biocomputing and biomedical research, seeking to generate computing devices with substantially lower energy requirements than conventional digital electronics. Brain organoids are lab-grown brain tissues, each about the size of a small grain of sand, that can naturally form networks. This project seeks to incorporate reward-based learning mechanisms into brain organoids to enable more complex and adaptive behaviors and increase training efficiency. By connecting the organoids to tiny electronic shells and using chemical signals, the research team will teach them to play simple video games and guide small robots. Throughout the project, bioethicists will monitor every step to ensure responsible and ethical conduct of research and to keep the public informed about both benefits and concerns. The work will train multiple students, create open-source hardware and software, and launch community courses that invite citizen scientists to learn about biological computing. Success of this project could pave the way for computers that use a million times less energy than today’s artificial-intelligence (AI) systems and open fresh paths for studying disorders such as Alzheimer’s disease.
This project seeks to advance organoid intelligence through engineering three-tier brain assembloids that couple cortical, dopaminergic, and striatal regions inside self-folded shell micro-electro-fluidic arrays (SMEFAs). These interfaces can deliver millisecond-precision electrical stimulation and micromolar-resolution neuromodulator gradients while recording three-dimensional neural activity. The central hypothesis of this research is that reward-modulated spike-time-dependent plasticity (R-STDP) will enable data-efficient, continual reinforcement learning in biological networks. The goal of Thread 1 is to develop standardized culture protocols and validate long-term SMEFA stability. Under Thread 2, real-time closed-loop software will be created that maps environment observations to stimulation codes and decodes action signals from high-density recordings, benchmarking OI against deep-reinforcement learning baselines on curricula of Atari-like tasks and embodied robot control. In Thread 3, an experimental neuroethics program will be embedded that defines measurable capacities (sentience, agency, evaluative cognition) and implements tiered safeguards in any case of evidence of consciousness. This project will explore the fundamental mechanisms of biological learning and is expected to develop new biocomputing architectures and to create a framework for experimental neuroethics. The work should position OI as a transformative, sustainable architecture for next-generation adaptive systems.
This award reflects NSF's statutory mission and has been deemed worthy of support through evaluation using the Foundation's intellectual merit and broader impacts review criteria.</t>
        </is>
      </c>
      <c r="AJ102" s="23" t="inlineStr"/>
    </row>
    <row r="103" ht="18" customHeight="1">
      <c r="A103" s="25" t="inlineStr">
        <is>
          <t>2438000</t>
        </is>
      </c>
      <c r="B103" s="26" t="inlineStr">
        <is>
          <t>Collaborative Research: Kinetics of Defect Phases Emerging from Nanoscale Interfaces</t>
        </is>
      </c>
      <c r="C103" s="25" t="inlineStr">
        <is>
          <t>Standard Grant</t>
        </is>
      </c>
      <c r="D103" s="25" t="inlineStr">
        <is>
          <t>true</t>
        </is>
      </c>
      <c r="E103" s="25" t="inlineStr">
        <is>
          <t>07/21/2025</t>
        </is>
      </c>
      <c r="F103" s="25" t="inlineStr">
        <is>
          <t>08/01/2025</t>
        </is>
      </c>
      <c r="G103" s="25" t="inlineStr">
        <is>
          <t>07/31/2028</t>
        </is>
      </c>
      <c r="H103" s="25" t="inlineStr">
        <is>
          <t>2025</t>
        </is>
      </c>
      <c r="I103" s="27" t="n">
        <v>405000</v>
      </c>
      <c r="J103" s="27" t="n">
        <v>405000</v>
      </c>
      <c r="K103" s="25" t="inlineStr">
        <is>
          <t>Timothy</t>
        </is>
      </c>
      <c r="L103" s="25" t="inlineStr">
        <is>
          <t>Rupert</t>
        </is>
      </c>
      <c r="M103" s="25" t="inlineStr">
        <is>
          <t>tim.rupert@jhu.edu</t>
        </is>
      </c>
      <c r="N103" s="25" t="inlineStr"/>
      <c r="O103" s="25" t="inlineStr">
        <is>
          <t>Timothy J Rupert</t>
        </is>
      </c>
      <c r="P103" s="25" t="inlineStr">
        <is>
          <t>Jonathan Madison</t>
        </is>
      </c>
      <c r="Q103" s="25" t="inlineStr">
        <is>
          <t>jmadison@nsf.gov</t>
        </is>
      </c>
      <c r="R103" s="25" t="inlineStr">
        <is>
          <t>THE JOHNS HOPKINS UNIVERSITY</t>
        </is>
      </c>
      <c r="S103" s="25" t="inlineStr">
        <is>
          <t>BALTIMORE</t>
        </is>
      </c>
      <c r="T103" s="25" t="inlineStr">
        <is>
          <t>MD</t>
        </is>
      </c>
      <c r="U103" s="25" t="inlineStr">
        <is>
          <t>212182608</t>
        </is>
      </c>
      <c r="V103" s="25" t="inlineStr">
        <is>
          <t>FTMTDMBR29C7</t>
        </is>
      </c>
      <c r="W103" s="25" t="inlineStr">
        <is>
          <t>BALTIMORE</t>
        </is>
      </c>
      <c r="X103" s="25" t="inlineStr">
        <is>
          <t>MD</t>
        </is>
      </c>
      <c r="Y103" s="25" t="inlineStr">
        <is>
          <t>MPS</t>
        </is>
      </c>
      <c r="Z103" s="25" t="inlineStr">
        <is>
          <t>DMR</t>
        </is>
      </c>
      <c r="AA103" s="26" t="inlineStr">
        <is>
          <t>METAL &amp; METALLIC NANOSTRUCTURE</t>
        </is>
      </c>
      <c r="AB103" s="25" t="inlineStr">
        <is>
          <t>MATERIALS EDUCATION AND RESEARCH, NANO NON-SOLIC SCI &amp; ENG AWD, Nanomaterials</t>
        </is>
      </c>
      <c r="AC103" s="25" t="inlineStr">
        <is>
          <t>177100</t>
        </is>
      </c>
      <c r="AD103" s="25" t="inlineStr">
        <is>
          <t>1711, 7237, 8614</t>
        </is>
      </c>
      <c r="AE103" s="25" t="inlineStr">
        <is>
          <t>47.049</t>
        </is>
      </c>
      <c r="AF103" s="25" t="inlineStr">
        <is>
          <t>1</t>
        </is>
      </c>
      <c r="AG103" s="25" t="inlineStr">
        <is>
          <t>07/21/2025</t>
        </is>
      </c>
      <c r="AH103" s="25" t="inlineStr">
        <is>
          <t>07/21/2025</t>
        </is>
      </c>
      <c r="AI103" s="26" t="inlineStr">
        <is>
          <t>NON-TECHNICAL SUMMARY
The defects present in engineering metals and alloys are pivotal in controlling properties such as mechanical strength and toughness. Properties such as these are crucial in fueling advanced technologies.  Yet, alloy design principles and frameworks that target specific materials phases seldom treat the defects as objects for design themselves.  Extending the fundamental thermodynamic, kinetic, and structural principles widely used to design bulk materials to the defects within these materials would enable more purposeful engineering of new materials with improved properties.  To address this goal, this project will synthesize, characterize, and simulate the thermodynamics and kinetics of nanostructured metallic alloys containing a large quantity of interfacial defects known as grain boundaries.  By encouraging specific chemical and structural environments at these defects, local phase transitions will be studied with the goal of promoting excellent thermal stability and ultimately mechanical behavior. This research aims to expand the scientific underpinnings of nucleation from nanoscale confined arrangements for bulk metallic systems where classical nucleation theories are not appropriate.  A primary goal is to also use the insights gained from this research to advance the emerging paradigm of defect phases and their intentional design, which requires new theories on the thermodynamics and kinetics of small confined systems, as well as new approaches to defect-aware materials design. This project also supports outreach to K-12 populations in the Santa Barbara, CA and Baltimore, MD communities through local school and art museum engagement in addition to engagement with older adults using STEM-based programming to help combat social isolation and loneliness.
TECHNICAL SUMMARY
Amorphous complexions, also known as defect phases, are analogous to bulk amorphous phases but restricted to a thin nanoscale film along grain boundaries.  Such microstructural features are particularly useful interfacial states since they imbue nanocrystalline materials with thermal stability at very high temperatures. Interestingly, these features are considered to be a major weakness of these otherwise promising materials.  A fundamental advantage of amorphous complexions as designer interfaces is that their disordered structure is the preferred local equilibrium state upon undergoing a pre-melting event.  However, the kinetics of these phase transitions localized to defects are not well understood, since their signatures are challenging to measure and depend strongly on the nature of the abutting crystals that surround the resulting confined structures. The proposed work will use alloy design of nanocrystalline metals to target these pre-melting transitions, produce thermally-stable, nanoscale-confined disordered interfacial states, and quantify the kinetics of these transitions.  These regions are the starting point for solidification pathways with microstructures not accessible through conventional alloy synthesis and processing routes.  State-of-the-art experimental approaches including ultrafast calorimetry, materials synthesis in both thin film and bulk forms, and in-situ scanning/transmission electron microscopy will be complemented with computations of phase equilibria and kinetics using atomistic and kinetic simulation approaches based on machine-learned interatomic force fields.  The insights gained on the kinetics of nanoscale complexions having varying degrees of order are expected to inform frameworks for predicting the behavior of confined interfacial states of matter and guide alloy design strategies with intentional populations of targeted defects. This project also supports outreach to K-12 populations in the Santa Barbara, CA and Baltimore, MD communities through local school and art museum engagement in addition to engagement with older adults using STEM-based programming to help combat social isolation and loneliness.
This award reflects NSF's statutory mission and has been deemed worthy of support through evaluation using the Foundation's intellectual merit and broader impacts review criteria.</t>
        </is>
      </c>
      <c r="AJ103" s="26" t="inlineStr"/>
    </row>
    <row r="104" ht="18" customHeight="1">
      <c r="A104" s="22" t="inlineStr">
        <is>
          <t>2538457</t>
        </is>
      </c>
      <c r="B104" s="23" t="inlineStr">
        <is>
          <t>Securing the Foundation of the IR-TRGB Distance Ladder</t>
        </is>
      </c>
      <c r="C104" s="22" t="inlineStr">
        <is>
          <t>Continuing Grant</t>
        </is>
      </c>
      <c r="D104" s="22" t="inlineStr">
        <is>
          <t>true</t>
        </is>
      </c>
      <c r="E104" s="22" t="inlineStr">
        <is>
          <t>08/29/2025</t>
        </is>
      </c>
      <c r="F104" s="22" t="inlineStr">
        <is>
          <t>08/01/2025</t>
        </is>
      </c>
      <c r="G104" s="22" t="inlineStr">
        <is>
          <t>02/28/2027</t>
        </is>
      </c>
      <c r="H104" s="22" t="inlineStr">
        <is>
          <t>2025</t>
        </is>
      </c>
      <c r="I104" s="24" t="n">
        <v>294055</v>
      </c>
      <c r="J104" s="24" t="n">
        <v>346203</v>
      </c>
      <c r="K104" s="22" t="inlineStr">
        <is>
          <t>Rachael</t>
        </is>
      </c>
      <c r="L104" s="22" t="inlineStr">
        <is>
          <t>Beaton</t>
        </is>
      </c>
      <c r="M104" s="22" t="inlineStr">
        <is>
          <t>rbeaton1@jh.edu</t>
        </is>
      </c>
      <c r="N104" s="22" t="inlineStr"/>
      <c r="O104" s="22" t="inlineStr">
        <is>
          <t>Rachael L Beaton</t>
        </is>
      </c>
      <c r="P104" s="22" t="inlineStr">
        <is>
          <t>Nigel Sharp</t>
        </is>
      </c>
      <c r="Q104" s="22" t="inlineStr">
        <is>
          <t>nsharp@nsf.gov</t>
        </is>
      </c>
      <c r="R104" s="22" t="inlineStr">
        <is>
          <t>THE JOHNS HOPKINS UNIVERSITY</t>
        </is>
      </c>
      <c r="S104" s="22" t="inlineStr">
        <is>
          <t>BALTIMORE</t>
        </is>
      </c>
      <c r="T104" s="22" t="inlineStr">
        <is>
          <t>MD</t>
        </is>
      </c>
      <c r="U104" s="22" t="inlineStr">
        <is>
          <t>212182608</t>
        </is>
      </c>
      <c r="V104" s="22" t="inlineStr">
        <is>
          <t>FTMTDMBR29C7</t>
        </is>
      </c>
      <c r="W104" s="22" t="inlineStr">
        <is>
          <t>BALTIMORE</t>
        </is>
      </c>
      <c r="X104" s="22" t="inlineStr">
        <is>
          <t>MD</t>
        </is>
      </c>
      <c r="Y104" s="22" t="inlineStr">
        <is>
          <t>MPS</t>
        </is>
      </c>
      <c r="Z104" s="22" t="inlineStr">
        <is>
          <t>AST</t>
        </is>
      </c>
      <c r="AA104" s="23" t="inlineStr">
        <is>
          <t>EXTRAGALACTIC ASTRON &amp; COSMOLO</t>
        </is>
      </c>
      <c r="AB104" s="22" t="inlineStr">
        <is>
          <t>OBSERVATIONAL ASTRONOMY, INSTRUMENTATION</t>
        </is>
      </c>
      <c r="AC104" s="22" t="inlineStr">
        <is>
          <t>121700</t>
        </is>
      </c>
      <c r="AD104" s="22" t="inlineStr">
        <is>
          <t>1207, 7697</t>
        </is>
      </c>
      <c r="AE104" s="22" t="inlineStr">
        <is>
          <t>47.049</t>
        </is>
      </c>
      <c r="AF104" s="22" t="inlineStr">
        <is>
          <t>1</t>
        </is>
      </c>
      <c r="AG104" s="22" t="inlineStr">
        <is>
          <t>08/29/2025</t>
        </is>
      </c>
      <c r="AH104" s="22" t="inlineStr">
        <is>
          <t>08/29/2025</t>
        </is>
      </c>
      <c r="AI104" s="23" t="inlineStr">
        <is>
          <t>The expansion rate of the universe, also known at the Hubble constant, is measured both from a distance scale and from the Cosmic Microwave Background. These two methods give different values. It is possible that systematic errors cause these different values, so independent techniques for the measurement of the Hubble constant need to be developed. The infrared tip of the red giant branch method (IR-TRGB) could be a powerful tool to probe large volumes and a wider set of Type Ia supernova galaxy hosts. However, the IR-TRGB method needs proper calibration, which requires new ground-based observations. This project will develop new tools for the IR-TRGP measurement. Ongoing projects, in collaboration with minority serving institutions, that provide research opportunities for undergraduate students will be enhanced with these tools. A sibling robotic optical telescope with time allocated for E/PO efforts will be made accessible to outreach via the creation of supporting materials and a wide range of E/PO education modes for both classrooms and informal settings.
This project will provide two anchor points to a distance scale built on the IR-TRGB and seamlessly connect these anchor points to IR-TRGB measurements made with space-based facilities. The IR-TRGB has the intrinsic brightness and efficient application to measure distances for statistical samples of SN Ia hosts. The team will: (1) Complete the implementation a fully-robotic, dual channel optical/infrared facility capable of monitoring bright stars in the infrared and publish design specifications and operational data for the facility. (2) Use this facility to produce photometry of key calibrations for the IR-TRGB in the Milky Way and LMC. (3) With an on-going HST program, derive or predict filter transformations between ground- and space-based filter systems that enable the IR-TRGB.  (4) Calibrate the absolute magnitude-color behavior of the IR-TRGB in two anchor objects with high precision geometric distances (Milky Way Field and LMC).
This award reflects NSF's statutory mission and has been deemed worthy of support through evaluation using the Foundation's intellectual merit and broader impacts review criteria.</t>
        </is>
      </c>
      <c r="AJ104" s="23" t="inlineStr"/>
    </row>
    <row r="105" ht="18" customHeight="1">
      <c r="A105" s="25" t="inlineStr">
        <is>
          <t>2453710</t>
        </is>
      </c>
      <c r="B105" s="26" t="inlineStr">
        <is>
          <t>Collaborative Research: Leveraging Spatial Constraints to Tailor the Free Energy Landscapes of Heterogenized Molecular Catalysts</t>
        </is>
      </c>
      <c r="C105" s="25" t="inlineStr">
        <is>
          <t>Standard Grant</t>
        </is>
      </c>
      <c r="D105" s="25" t="inlineStr">
        <is>
          <t>true</t>
        </is>
      </c>
      <c r="E105" s="25" t="inlineStr">
        <is>
          <t>07/16/2025</t>
        </is>
      </c>
      <c r="F105" s="25" t="inlineStr">
        <is>
          <t>08/01/2025</t>
        </is>
      </c>
      <c r="G105" s="25" t="inlineStr">
        <is>
          <t>07/31/2028</t>
        </is>
      </c>
      <c r="H105" s="25" t="inlineStr">
        <is>
          <t>2025</t>
        </is>
      </c>
      <c r="I105" s="27" t="n">
        <v>325000</v>
      </c>
      <c r="J105" s="27" t="n">
        <v>325000</v>
      </c>
      <c r="K105" s="25" t="inlineStr">
        <is>
          <t>Brandon</t>
        </is>
      </c>
      <c r="L105" s="25" t="inlineStr">
        <is>
          <t>Bukowski</t>
        </is>
      </c>
      <c r="M105" s="25" t="inlineStr">
        <is>
          <t>bbukows1@jhu.edu</t>
        </is>
      </c>
      <c r="N105" s="25" t="inlineStr"/>
      <c r="O105" s="25" t="inlineStr">
        <is>
          <t>Brandon C Bukowski</t>
        </is>
      </c>
      <c r="P105" s="25" t="inlineStr">
        <is>
          <t>Kenneth Moloy</t>
        </is>
      </c>
      <c r="Q105" s="25" t="inlineStr">
        <is>
          <t>kmoloy@nsf.gov</t>
        </is>
      </c>
      <c r="R105" s="25" t="inlineStr">
        <is>
          <t>THE JOHNS HOPKINS UNIVERSITY</t>
        </is>
      </c>
      <c r="S105" s="25" t="inlineStr">
        <is>
          <t>BALTIMORE</t>
        </is>
      </c>
      <c r="T105" s="25" t="inlineStr">
        <is>
          <t>MD</t>
        </is>
      </c>
      <c r="U105" s="25" t="inlineStr">
        <is>
          <t>212182608</t>
        </is>
      </c>
      <c r="V105" s="25" t="inlineStr">
        <is>
          <t>FTMTDMBR29C7</t>
        </is>
      </c>
      <c r="W105" s="25" t="inlineStr">
        <is>
          <t>BALTIMORE</t>
        </is>
      </c>
      <c r="X105" s="25" t="inlineStr">
        <is>
          <t>MD</t>
        </is>
      </c>
      <c r="Y105" s="25" t="inlineStr">
        <is>
          <t>MPS</t>
        </is>
      </c>
      <c r="Z105" s="25" t="inlineStr">
        <is>
          <t>CHE</t>
        </is>
      </c>
      <c r="AA105" s="26" t="inlineStr">
        <is>
          <t>Chemical Catalysis</t>
        </is>
      </c>
      <c r="AB105" s="25" t="inlineStr">
        <is>
          <t>Advanced Manufacturing</t>
        </is>
      </c>
      <c r="AC105" s="25" t="inlineStr">
        <is>
          <t>688400</t>
        </is>
      </c>
      <c r="AD105" s="25" t="inlineStr">
        <is>
          <t>8037</t>
        </is>
      </c>
      <c r="AE105" s="25" t="inlineStr">
        <is>
          <t>47.049</t>
        </is>
      </c>
      <c r="AF105" s="25" t="inlineStr">
        <is>
          <t>1</t>
        </is>
      </c>
      <c r="AG105" s="25" t="inlineStr">
        <is>
          <t>07/16/2025</t>
        </is>
      </c>
      <c r="AH105" s="25" t="inlineStr">
        <is>
          <t>07/16/2025</t>
        </is>
      </c>
      <c r="AI105" s="26" t="inlineStr">
        <is>
          <t>With the support of the Chemical Catalysis program in the Division of Chemistry, Professor Jason Bates of the University of Virginia and Professor Brandon Bukowski of Johns Hopkins University are studying new approaches to improve the productivity and durability of molecular catalysts through supporting them on nanostructured solids. These fundamental approaches will enable more efficient, flexible, and sustainable pharmaceutical manufacturing processes by developing catalysts that are not only more active, but also longer lasting and safer to use in continuous flow systems. These advances will help facilitate a transition to a distributed manufacturing model that can respond quickly to shifting or localized demand. Combined experimental and computational studies in this project will focus on asymmetric hydrogenation, which is an important catalytic reaction in pharmaceutical production, and computational methods and models will be made broadly accessible to the community. Educational and outreach efforts will train undergraduate and graduate students in cutting-edge experimental and machine learning techniques and engage high school students through hands-on science programs. The team will build strong inter-institutional collaborations through regular student exchanges, helping to prepare the next generation of scientists and engineers.
With the support of the Chemical Catalysis program in the Division of Chemistry, Professor Jason Bates of the University of Virginia and Professor Brandon Bukowski of Johns Hopkins University are studying the impact of solid support structure on heterogenized asymmetric hydrogenation catalysts. By integrating experimental and theoretical approaches, the project will establish a materials-driven approach to molecular catalyst design, leveraging the structural features of zeolites as tunable, non-coordinating solid supports for cationic complexes. Hierarchical and nanosheet zeolite structures will be targeted to exploit partial confinement at zeolite nanopore mouths while maintaining substrate accessibility. The team will combine synthesis, spectroscopic characterization, kinetic analysis, and ab initio microkinetic modeling to systematically explore how support structure influences catalytic behavior. These insights will inform the development of predictive computational tools to guide the design of zeolite–ligand pairs across a broad chemical space, to reshape reaction energy landscapes and suppress off-cycle deactivation pathways. Integrating advances from zeolite synthesis, molecular catalysis, and computational catalysis, this project offers a blueprint for discovering supported catalysts that outperform their homogeneous analogues. The experimental and computational approaches will be extensible beyond asymmetric hydrogenations, offering the potential to improve the reactivity of other key reactions facilitated by molecular catalysts, such as cross-couplings and selective oxidations.
This award reflects NSF's statutory mission and has been deemed worthy of support through evaluation using the Foundation's intellectual merit and broader impacts review criteria.</t>
        </is>
      </c>
      <c r="AJ105" s="26" t="inlineStr"/>
    </row>
    <row r="106" ht="18" customHeight="1">
      <c r="A106" s="22" t="inlineStr">
        <is>
          <t>2502377</t>
        </is>
      </c>
      <c r="B106" s="23" t="inlineStr">
        <is>
          <t>MFAI: Any-Dimensional Equivariant Learning</t>
        </is>
      </c>
      <c r="C106" s="22" t="inlineStr">
        <is>
          <t>Standard Grant</t>
        </is>
      </c>
      <c r="D106" s="22" t="inlineStr">
        <is>
          <t>true</t>
        </is>
      </c>
      <c r="E106" s="22" t="inlineStr">
        <is>
          <t>07/21/2025</t>
        </is>
      </c>
      <c r="F106" s="22" t="inlineStr">
        <is>
          <t>08/01/2025</t>
        </is>
      </c>
      <c r="G106" s="22" t="inlineStr">
        <is>
          <t>07/31/2028</t>
        </is>
      </c>
      <c r="H106" s="22" t="inlineStr">
        <is>
          <t>2025</t>
        </is>
      </c>
      <c r="I106" s="24" t="n">
        <v>1000000</v>
      </c>
      <c r="J106" s="24" t="n">
        <v>1000000</v>
      </c>
      <c r="K106" s="22" t="inlineStr">
        <is>
          <t>Mateo</t>
        </is>
      </c>
      <c r="L106" s="22" t="inlineStr">
        <is>
          <t>Diaz Diaz</t>
        </is>
      </c>
      <c r="M106" s="22" t="inlineStr">
        <is>
          <t>mateodd@jhu.edu</t>
        </is>
      </c>
      <c r="N106" s="22" t="inlineStr">
        <is>
          <t>Venkat Chandrasekaran venkatc@caltech.edu, Jeremias Sulam jsulam1@jhu.edu</t>
        </is>
      </c>
      <c r="O106" s="22" t="inlineStr">
        <is>
          <t>Mateo Diaz Diaz</t>
        </is>
      </c>
      <c r="P106" s="22" t="inlineStr">
        <is>
          <t>Stacey Levine</t>
        </is>
      </c>
      <c r="Q106" s="22" t="inlineStr">
        <is>
          <t>slevine@nsf.gov</t>
        </is>
      </c>
      <c r="R106" s="22" t="inlineStr">
        <is>
          <t>THE JOHNS HOPKINS UNIVERSITY</t>
        </is>
      </c>
      <c r="S106" s="22" t="inlineStr">
        <is>
          <t>BALTIMORE</t>
        </is>
      </c>
      <c r="T106" s="22" t="inlineStr">
        <is>
          <t>MD</t>
        </is>
      </c>
      <c r="U106" s="22" t="inlineStr">
        <is>
          <t>212182608</t>
        </is>
      </c>
      <c r="V106" s="22" t="inlineStr">
        <is>
          <t>FTMTDMBR29C7</t>
        </is>
      </c>
      <c r="W106" s="22" t="inlineStr">
        <is>
          <t>BALTIMORE</t>
        </is>
      </c>
      <c r="X106" s="22" t="inlineStr">
        <is>
          <t>MD</t>
        </is>
      </c>
      <c r="Y106" s="22" t="inlineStr">
        <is>
          <t>MPS</t>
        </is>
      </c>
      <c r="Z106" s="22" t="inlineStr">
        <is>
          <t>DMS</t>
        </is>
      </c>
      <c r="AA106" s="23" t="inlineStr">
        <is>
          <t>IIS Special Projects, Special Projects - CCF, MSPA-INTERDISCIPLINARY</t>
        </is>
      </c>
      <c r="AB106" s="22" t="inlineStr">
        <is>
          <t>Artificial Intelligence (AI), Machine Learning Theory</t>
        </is>
      </c>
      <c r="AC106" s="22" t="inlineStr">
        <is>
          <t>748400, 287800, 745400</t>
        </is>
      </c>
      <c r="AD106" s="22" t="inlineStr">
        <is>
          <t>075Z, 079Z</t>
        </is>
      </c>
      <c r="AE106" s="22" t="inlineStr">
        <is>
          <t>47.049, 47.070</t>
        </is>
      </c>
      <c r="AF106" s="22" t="inlineStr">
        <is>
          <t>1</t>
        </is>
      </c>
      <c r="AG106" s="22" t="inlineStr">
        <is>
          <t>07/21/2025</t>
        </is>
      </c>
      <c r="AH106" s="22" t="inlineStr">
        <is>
          <t>07/21/2025</t>
        </is>
      </c>
      <c r="AI106" s="23" t="inlineStr">
        <is>
          <t>Modern artificial intelligence (AI) systems provide a versatile toolkit for identifying solution maps for a variety of problems in a data-driven fashion -- some prominent application domains include imaging, signal processing, recommendation systems, and partial differential equations. In this paradigm, one is given a training dataset consisting of input-output -- inputs representing problem instances and outputs representing solutions -- and the objective is to learn a solution map that can be applied to future test inputs. For example, in image classification, the inputs correspond to images, and the outputs correspond to labels indicating the presence or absence of a person. While remarkably successful, a major drawback of this paradigm concerns the size or dimension of the training examples. Specifically, one can expect the size of the input problem instances in the training set to be different from that of the problem instances encountered at test time; indeed, even expecting all the data in the training set to lie in the same dimension is often unreasonable. For example, when learning image classifiers, contemporary methods usually require the training set to consist of images of the same size. Moreover, the model trained cannot handle larger or smaller images. A more natural learning objective is to identify an algorithm instead -- a sequence of solution maps that gracefully handles inputs of increasingly larger size. This project advances a research program to learn such an algorithm from training data consisting of inputs of different sizes, allowing for learned algorithms to be deployed on inputs of any size (including those not present in the training set).
To achieve this goal, the project utilizes a framework based on representation theory that facilitates the specification of parameterized families of sequences of solution maps, i.e., parameterized families of algorithms, with the parameters given by invariants in a sequence of group representations. The learning problem identifies the best element from such a parameterized family to minimize training error. At test time, one can simply apply the solution map that takes in the dimension of the test instance. Central to this development is the recently identified phenomenon of representation stability in the algebraic topology literature, which provides the mathematical underpinning of the framework. The project tackles approximation-theoretic, statistical, and computational research questions that arise from our framework, along with high-impact applications to imagining inverse problems and protein folding. The framework will provide a mathematical basis for training AI systems on low-dimensional training data while still being applicable to high-dimensional test data, thus offering the possibility of significant energy savings and making ML systems more sustainable. Furthermore, the research is integrated with a comprehensive educational component. The principal investigators will mentor high school students through the Johns Hopkins Center for Educational Outreach and undergraduates through the Caltech Student-Faculty Programs Office.
This award reflects NSF's statutory mission and has been deemed worthy of support through evaluation using the Foundation's intellectual merit and broader impacts review criteria.</t>
        </is>
      </c>
      <c r="AJ106" s="23" t="inlineStr"/>
    </row>
    <row r="107" ht="18" customHeight="1">
      <c r="A107" s="25" t="inlineStr">
        <is>
          <t>2501395</t>
        </is>
      </c>
      <c r="B107" s="26" t="inlineStr">
        <is>
          <t>Assembly and Regulation Mechanisms of Filamentous Signaling Platforms</t>
        </is>
      </c>
      <c r="C107" s="25" t="inlineStr">
        <is>
          <t>Standard Grant</t>
        </is>
      </c>
      <c r="D107" s="25" t="inlineStr">
        <is>
          <t>true</t>
        </is>
      </c>
      <c r="E107" s="25" t="inlineStr">
        <is>
          <t>07/22/2025</t>
        </is>
      </c>
      <c r="F107" s="25" t="inlineStr">
        <is>
          <t>08/01/2025</t>
        </is>
      </c>
      <c r="G107" s="25" t="inlineStr">
        <is>
          <t>07/31/2029</t>
        </is>
      </c>
      <c r="H107" s="25" t="inlineStr">
        <is>
          <t>2025</t>
        </is>
      </c>
      <c r="I107" s="27" t="n">
        <v>999993</v>
      </c>
      <c r="J107" s="27" t="n">
        <v>999993</v>
      </c>
      <c r="K107" s="25" t="inlineStr">
        <is>
          <t>Jungsan</t>
        </is>
      </c>
      <c r="L107" s="25" t="inlineStr">
        <is>
          <t>Sohn</t>
        </is>
      </c>
      <c r="M107" s="25" t="inlineStr">
        <is>
          <t>jsohn@jhmi.edu</t>
        </is>
      </c>
      <c r="N107" s="25" t="inlineStr"/>
      <c r="O107" s="25" t="inlineStr">
        <is>
          <t>Jungsan Sohn</t>
        </is>
      </c>
      <c r="P107" s="25" t="inlineStr">
        <is>
          <t>Marcia Newcomer</t>
        </is>
      </c>
      <c r="Q107" s="25" t="inlineStr">
        <is>
          <t>mnewcome@nsf.gov</t>
        </is>
      </c>
      <c r="R107" s="25" t="inlineStr">
        <is>
          <t>THE JOHNS HOPKINS UNIVERSITY</t>
        </is>
      </c>
      <c r="S107" s="25" t="inlineStr">
        <is>
          <t>BALTIMORE</t>
        </is>
      </c>
      <c r="T107" s="25" t="inlineStr">
        <is>
          <t>MD</t>
        </is>
      </c>
      <c r="U107" s="25" t="inlineStr">
        <is>
          <t>212182608</t>
        </is>
      </c>
      <c r="V107" s="25" t="inlineStr">
        <is>
          <t>FTMTDMBR29C7</t>
        </is>
      </c>
      <c r="W107" s="25" t="inlineStr">
        <is>
          <t>BALTIMORE</t>
        </is>
      </c>
      <c r="X107" s="25" t="inlineStr">
        <is>
          <t>MD</t>
        </is>
      </c>
      <c r="Y107" s="25" t="inlineStr">
        <is>
          <t>BIO</t>
        </is>
      </c>
      <c r="Z107" s="25" t="inlineStr">
        <is>
          <t>MCB</t>
        </is>
      </c>
      <c r="AA107" s="26" t="inlineStr">
        <is>
          <t>Molecular Biophysics</t>
        </is>
      </c>
      <c r="AB107" s="25" t="inlineStr">
        <is>
          <t>NANOSCALE BIO CORE</t>
        </is>
      </c>
      <c r="AC107" s="25" t="inlineStr">
        <is>
          <t>114400</t>
        </is>
      </c>
      <c r="AD107" s="25" t="inlineStr">
        <is>
          <t>7465</t>
        </is>
      </c>
      <c r="AE107" s="25" t="inlineStr">
        <is>
          <t>47.074</t>
        </is>
      </c>
      <c r="AF107" s="25" t="inlineStr">
        <is>
          <t>1</t>
        </is>
      </c>
      <c r="AG107" s="25" t="inlineStr">
        <is>
          <t>07/22/2025</t>
        </is>
      </c>
      <c r="AH107" s="25" t="inlineStr">
        <is>
          <t>07/22/2025</t>
        </is>
      </c>
      <c r="AI107" s="26" t="inlineStr">
        <is>
          <t>The numerous molecular interactions that support life must be highly regulated in the cell to achieve selectivity and precision.  A newly identified method with which cells achieve this is via the sequential assembly of filamentous signaling platforms which are composed of a specific class of proteins.  These large, supramolecular structures adopt distinct architectures, and shape complementarity plays a key role in recognizing their specific partners. Their assembly provokes a “signal” which triggers a cellular response. The filamentous signaling hubs can condense into large organelle-like entities, which can be vital for preventing any crosstalk with unrelated signaling pathways.  This project aims to investigate how filamentous signaling platforms assemble and operate at the molecular level. This information is fundamental to understanding the coordination of the complex network of cellular processes. The PI directs the Biophysics Research for Baltimore Teens (BRBT) program, an outreach program in which high school students from Baltimore and the surrounding areas can be part of current research efforts. 
Specifically, this project will investigate how filamentous signaling platforms execute a cell-death pathway. The research strategy includes computational methods such as Rosetta, Electron Microscopy, single-molecule force measurements, and quantitative assays in both cell-free and cell-based systems. The first goal is to determine how architectural complementary dictates the interacting partners within a specific group of signaling filaments. The second goal is to investigate the mechanical forces involved in assembling such filamentous structures on DNA. The third goal is to elucidate how different regulators target and inhibit specific signaling components in these pathways. The outcome here will delineate structural, biochemical, physical mechanisms by which filamentous assemblies preserve the signaling specificity at different stages of the cell-death pathway.
This award reflects NSF's statutory mission and has been deemed worthy of support through evaluation using the Foundation's intellectual merit and broader impacts review criteria.</t>
        </is>
      </c>
      <c r="AJ107" s="26" t="inlineStr"/>
    </row>
    <row r="108" ht="18" customHeight="1">
      <c r="A108" s="22" t="inlineStr">
        <is>
          <t>2523432</t>
        </is>
      </c>
      <c r="B108" s="23" t="inlineStr">
        <is>
          <t>NiCE: Auditory resilience and susceptibility to anthropogenic noise</t>
        </is>
      </c>
      <c r="C108" s="22" t="inlineStr">
        <is>
          <t>Standard Grant</t>
        </is>
      </c>
      <c r="D108" s="22" t="inlineStr">
        <is>
          <t>true</t>
        </is>
      </c>
      <c r="E108" s="22" t="inlineStr">
        <is>
          <t>07/11/2025</t>
        </is>
      </c>
      <c r="F108" s="22" t="inlineStr">
        <is>
          <t>08/01/2025</t>
        </is>
      </c>
      <c r="G108" s="22" t="inlineStr">
        <is>
          <t>07/31/2028</t>
        </is>
      </c>
      <c r="H108" s="22" t="inlineStr">
        <is>
          <t>2025</t>
        </is>
      </c>
      <c r="I108" s="24" t="n">
        <v>500000</v>
      </c>
      <c r="J108" s="24" t="n">
        <v>500000</v>
      </c>
      <c r="K108" s="22" t="inlineStr">
        <is>
          <t>Cynthia</t>
        </is>
      </c>
      <c r="L108" s="22" t="inlineStr">
        <is>
          <t>Moss</t>
        </is>
      </c>
      <c r="M108" s="22" t="inlineStr">
        <is>
          <t>cynthia.moss@jhu.edu</t>
        </is>
      </c>
      <c r="N108" s="22" t="inlineStr">
        <is>
          <t>Kishore Kuchibhotla kkuchib1@jhu.edu, Amanda Lauer alauer2@jhmi.edu</t>
        </is>
      </c>
      <c r="O108" s="22" t="inlineStr">
        <is>
          <t>Cynthia F Moss</t>
        </is>
      </c>
      <c r="P108" s="22" t="inlineStr">
        <is>
          <t>Paul Forlano</t>
        </is>
      </c>
      <c r="Q108" s="22" t="inlineStr">
        <is>
          <t>pforlano@nsf.gov</t>
        </is>
      </c>
      <c r="R108" s="22" t="inlineStr">
        <is>
          <t>THE JOHNS HOPKINS UNIVERSITY</t>
        </is>
      </c>
      <c r="S108" s="22" t="inlineStr">
        <is>
          <t>BALTIMORE</t>
        </is>
      </c>
      <c r="T108" s="22" t="inlineStr">
        <is>
          <t>MD</t>
        </is>
      </c>
      <c r="U108" s="22" t="inlineStr">
        <is>
          <t>212182608</t>
        </is>
      </c>
      <c r="V108" s="22" t="inlineStr">
        <is>
          <t>FTMTDMBR29C7</t>
        </is>
      </c>
      <c r="W108" s="22" t="inlineStr">
        <is>
          <t>BALTIMORE</t>
        </is>
      </c>
      <c r="X108" s="22" t="inlineStr">
        <is>
          <t>MD</t>
        </is>
      </c>
      <c r="Y108" s="22" t="inlineStr">
        <is>
          <t>BIO</t>
        </is>
      </c>
      <c r="Z108" s="22" t="inlineStr">
        <is>
          <t>IOS</t>
        </is>
      </c>
      <c r="AA108" s="23" t="inlineStr">
        <is>
          <t>Activation</t>
        </is>
      </c>
      <c r="AB108" s="22" t="inlineStr"/>
      <c r="AC108" s="22" t="inlineStr">
        <is>
          <t>771300</t>
        </is>
      </c>
      <c r="AD108" s="22" t="inlineStr"/>
      <c r="AE108" s="22" t="inlineStr">
        <is>
          <t>47.074</t>
        </is>
      </c>
      <c r="AF108" s="22" t="inlineStr">
        <is>
          <t>1</t>
        </is>
      </c>
      <c r="AG108" s="22" t="inlineStr">
        <is>
          <t>07/11/2025</t>
        </is>
      </c>
      <c r="AH108" s="22" t="inlineStr">
        <is>
          <t>07/11/2025</t>
        </is>
      </c>
      <c r="AI108" s="23" t="inlineStr">
        <is>
          <t>The team aims to unlock critical new knowledge of hearing in noisy environments. Noise represents a major challenge to the daily lives of humans and other animals: Rockets, airplanes, jackhammers, munition blasts, motorcycles, rock concerts, farm and industrial equipment, recreational vehicles, and other sources of intense sound interfere with social communication and can permanently damage hearing. While human-driven changes to the sound environment now occur at an unprecedented scale, the impact of loud noise on hearing appears to differ across species. Some animal species, such as echolocating bats, have evolved specializations that render them more resilient to noisy acoustic environments, while other species, such as mice, are susceptible. The research team aims to understand what specializations of the auditory system confer hearing protection in some species and with this knowledge, identify potential interventions to reduce the effects of noise damage on hearing in humans and other animals. This project includes an interdisciplinary educational opportunity to equip students with broad knowledge and skillsets that will prepare them to make transformative contributions in basic science, technology, and noise pollution policy. The team also plans community activities to raise awareness of noise impacts on hearing in humans and other animals and to encourage the use of protective earplugs and earmuffs in noisy settings. This project will yield a scientific foundation for policy makers to evaluate the impacts of noise in the environment and make informed recommendations.
Anthropogenic noise poses a threat to a vast array of species that rely on acoustic signals to survive in their natural habitats, and holds implications for biodiversity conservation, ecosystem health, and environmental policies. This research project aims to identify the neural mechanisms that render some organisms susceptible to anthropogenic noise and others resilient, and to unlock new interventions that can mitigate the effects of noise damage on hearing in humans and other animals. They bring together a multidisciplinary team to understand the impacts of anthropogenic noise on (1) efferent auditory pathways and (2) neural coding in the peripheral and central auditory systems. The team’s collective expertise in animal bioacoustics, auditory neuroscience, neuroanatomy and sensory ecology allow them to identify and analyze the factors that promote resilience in neural pathways to environmental noise. The project will establish a blueprint for the research community to analyze the impact of anthropogenic noise on animal hearing and provide a scientific foundation for policy makers to mitigate these disruptions and preserve the delicate balance of our auditory environments.
This project is supported jointly by Division of Integrative Organismal Systems in the Directorate for Biological Science of NSF and the Kavli Foundation.
This award reflects NSF's statutory mission and has been deemed worthy of support through evaluation using the Foundation's intellectual merit and broader impacts review criteria.</t>
        </is>
      </c>
      <c r="AJ108" s="23" t="inlineStr"/>
    </row>
    <row r="109" ht="18" customHeight="1">
      <c r="A109" s="25" t="inlineStr">
        <is>
          <t>2502905</t>
        </is>
      </c>
      <c r="B109" s="26" t="inlineStr">
        <is>
          <t>GEM: Kinetic structure and formation of pre-reconnection magnetotail thin current sheets</t>
        </is>
      </c>
      <c r="C109" s="25" t="inlineStr">
        <is>
          <t>Standard Grant</t>
        </is>
      </c>
      <c r="D109" s="25" t="inlineStr">
        <is>
          <t>true</t>
        </is>
      </c>
      <c r="E109" s="25" t="inlineStr">
        <is>
          <t>07/14/2025</t>
        </is>
      </c>
      <c r="F109" s="25" t="inlineStr">
        <is>
          <t>08/01/2025</t>
        </is>
      </c>
      <c r="G109" s="25" t="inlineStr">
        <is>
          <t>07/31/2028</t>
        </is>
      </c>
      <c r="H109" s="25" t="inlineStr">
        <is>
          <t>2025</t>
        </is>
      </c>
      <c r="I109" s="27" t="n">
        <v>459966</v>
      </c>
      <c r="J109" s="27" t="n">
        <v>459966</v>
      </c>
      <c r="K109" s="25" t="inlineStr">
        <is>
          <t>Harry</t>
        </is>
      </c>
      <c r="L109" s="25" t="inlineStr">
        <is>
          <t>Arnold</t>
        </is>
      </c>
      <c r="M109" s="25" t="inlineStr">
        <is>
          <t>harry.arnold@jhuapl.edu</t>
        </is>
      </c>
      <c r="N109" s="25" t="inlineStr"/>
      <c r="O109" s="25" t="inlineStr">
        <is>
          <t>Harry Arnold</t>
        </is>
      </c>
      <c r="P109" s="25" t="inlineStr">
        <is>
          <t>Andreas Keiling</t>
        </is>
      </c>
      <c r="Q109" s="25" t="inlineStr">
        <is>
          <t>akeiling@nsf.gov</t>
        </is>
      </c>
      <c r="R109" s="25" t="inlineStr">
        <is>
          <t>THE JOHNS HOPKINS UNIVERSITY</t>
        </is>
      </c>
      <c r="S109" s="25" t="inlineStr">
        <is>
          <t>BALTIMORE</t>
        </is>
      </c>
      <c r="T109" s="25" t="inlineStr">
        <is>
          <t>MD</t>
        </is>
      </c>
      <c r="U109" s="25" t="inlineStr">
        <is>
          <t>212182608</t>
        </is>
      </c>
      <c r="V109" s="25" t="inlineStr">
        <is>
          <t>FTMTDMBR29C7</t>
        </is>
      </c>
      <c r="W109" s="25" t="inlineStr">
        <is>
          <t>Laurel</t>
        </is>
      </c>
      <c r="X109" s="25" t="inlineStr">
        <is>
          <t>MD</t>
        </is>
      </c>
      <c r="Y109" s="25" t="inlineStr">
        <is>
          <t>GEO</t>
        </is>
      </c>
      <c r="Z109" s="25" t="inlineStr">
        <is>
          <t>AGS</t>
        </is>
      </c>
      <c r="AA109" s="26" t="inlineStr">
        <is>
          <t>MAGNETOSPHERIC PHYSICS</t>
        </is>
      </c>
      <c r="AB109" s="25" t="inlineStr"/>
      <c r="AC109" s="25" t="inlineStr">
        <is>
          <t>575000</t>
        </is>
      </c>
      <c r="AD109" s="25" t="inlineStr"/>
      <c r="AE109" s="25" t="inlineStr">
        <is>
          <t>47.050</t>
        </is>
      </c>
      <c r="AF109" s="25" t="inlineStr">
        <is>
          <t>1</t>
        </is>
      </c>
      <c r="AG109" s="25" t="inlineStr">
        <is>
          <t>07/14/2025</t>
        </is>
      </c>
      <c r="AH109" s="25" t="inlineStr">
        <is>
          <t>07/14/2025</t>
        </is>
      </c>
      <c r="AI109" s="26" t="inlineStr">
        <is>
          <t>Understanding how energy is stored and explosively released in near-Earth space is critical to protecting modern technologies that depend on satellites, power grids, and communications systems. This project investigates the formation of thin current sheets (TCS), which are narrow regions of intense electrical current observed in Earth’s magnetotail during the quiet buildup phase of geomagnetic substorms. These substorms can lead to space weather disturbances that affect both space-based and ground-based systems. TCSs are thought to be a prerequisite for magnetic reconnection, the explosive process that triggers substorms, but their formation remains poorly understood. This research aims to clarify how specific ion behaviors—particularly when ions have directional energy preferences, or anisotropy—support the development of these thin structures. The project also supports the national interest by advancing scientific knowledge of geospace dynamics, which is essential for forecasting space weather. Additionally, it provides training for undergraduate students and offers early-career development opportunities for the principal investigator.
The project uses state-of-the-art Particle-In-Cell (PIC) simulations to explore how ion anisotropy arises and enables the formation of thin current sheets in the magnetotail. Two central science questions guide the research: (1) What role does a realistic driving electric field play in generating ion anisotropy and enabling TCS formation? (2) What impact do anisotropic ions—originating outside the central current sheet—have on transforming a broader current layer into a TCS, either with or without an external driving field? The simulations incorporate novel, data-driven boundary conditions, including electric fields derived from data-mined magnetospheric reconstructions and ion populations informed by satellite observations. These include cold, anisotropic ions likely originating from Earth’s ionosphere and high-energy beams from magnetic reconnection exhausts. By resolving the physics behind TCS formation, this research will enhance scientific understanding of the substorm growth phase and energy release processes in space plasmas. The findings will have broader applications to other plasma environments, such as the solar wind and magnetospheres of other planets.
This award reflects NSF's statutory mission and has been deemed worthy of support through evaluation using the Foundation's intellectual merit and broader impacts review criteria.</t>
        </is>
      </c>
      <c r="AJ109" s="26" t="inlineStr"/>
    </row>
    <row r="110" ht="18" customHeight="1">
      <c r="A110" s="22" t="inlineStr">
        <is>
          <t>2506328</t>
        </is>
      </c>
      <c r="B110" s="23" t="inlineStr">
        <is>
          <t>Mean Curvature and Complexity of Submanifolds</t>
        </is>
      </c>
      <c r="C110" s="22" t="inlineStr">
        <is>
          <t>Standard Grant</t>
        </is>
      </c>
      <c r="D110" s="22" t="inlineStr">
        <is>
          <t>true</t>
        </is>
      </c>
      <c r="E110" s="22" t="inlineStr">
        <is>
          <t>07/28/2025</t>
        </is>
      </c>
      <c r="F110" s="22" t="inlineStr">
        <is>
          <t>08/01/2025</t>
        </is>
      </c>
      <c r="G110" s="22" t="inlineStr">
        <is>
          <t>07/31/2028</t>
        </is>
      </c>
      <c r="H110" s="22" t="inlineStr">
        <is>
          <t>2025</t>
        </is>
      </c>
      <c r="I110" s="24" t="n">
        <v>150000</v>
      </c>
      <c r="J110" s="24" t="n">
        <v>150000</v>
      </c>
      <c r="K110" s="22" t="inlineStr">
        <is>
          <t>Jacob</t>
        </is>
      </c>
      <c r="L110" s="22" t="inlineStr">
        <is>
          <t>Bernstein</t>
        </is>
      </c>
      <c r="M110" s="22" t="inlineStr">
        <is>
          <t>bernstein@math.jhu.edu</t>
        </is>
      </c>
      <c r="N110" s="22" t="inlineStr"/>
      <c r="O110" s="22" t="inlineStr">
        <is>
          <t>Jacob Bernstein</t>
        </is>
      </c>
      <c r="P110" s="22" t="inlineStr">
        <is>
          <t>Paulo Lima Filho</t>
        </is>
      </c>
      <c r="Q110" s="22" t="inlineStr">
        <is>
          <t>plimafil@nsf.gov</t>
        </is>
      </c>
      <c r="R110" s="22" t="inlineStr">
        <is>
          <t>THE JOHNS HOPKINS UNIVERSITY</t>
        </is>
      </c>
      <c r="S110" s="22" t="inlineStr">
        <is>
          <t>BALTIMORE</t>
        </is>
      </c>
      <c r="T110" s="22" t="inlineStr">
        <is>
          <t>MD</t>
        </is>
      </c>
      <c r="U110" s="22" t="inlineStr">
        <is>
          <t>212182608</t>
        </is>
      </c>
      <c r="V110" s="22" t="inlineStr">
        <is>
          <t>FTMTDMBR29C7</t>
        </is>
      </c>
      <c r="W110" s="22" t="inlineStr">
        <is>
          <t>BALTIMORE</t>
        </is>
      </c>
      <c r="X110" s="22" t="inlineStr">
        <is>
          <t>MD</t>
        </is>
      </c>
      <c r="Y110" s="22" t="inlineStr">
        <is>
          <t>MPS</t>
        </is>
      </c>
      <c r="Z110" s="22" t="inlineStr">
        <is>
          <t>DMS</t>
        </is>
      </c>
      <c r="AA110" s="23" t="inlineStr">
        <is>
          <t>GEOMETRIC ANALYSIS</t>
        </is>
      </c>
      <c r="AB110" s="22" t="inlineStr"/>
      <c r="AC110" s="22" t="inlineStr">
        <is>
          <t>126500</t>
        </is>
      </c>
      <c r="AD110" s="22" t="inlineStr"/>
      <c r="AE110" s="22" t="inlineStr">
        <is>
          <t>47.049</t>
        </is>
      </c>
      <c r="AF110" s="22" t="inlineStr">
        <is>
          <t>1</t>
        </is>
      </c>
      <c r="AG110" s="22" t="inlineStr">
        <is>
          <t>07/28/2025</t>
        </is>
      </c>
      <c r="AH110" s="22" t="inlineStr">
        <is>
          <t>07/28/2025</t>
        </is>
      </c>
      <c r="AI110" s="23" t="inlineStr">
        <is>
          <t>This project concerns the geometric calculus of variations, that is the study of the properties of objects which are optimal or nearly optimal in various geometric senses. These variational problems arise in various areas of pure and applied mathematics and also in many physical sciences.  The project is focused on studying certain measures of complexity for submanifolds and their linkage to interesting geometric partial differential equations such as the minimal surface equation and mean curvature flow. Minimal surfaces are classical geometric objects that naturally arise in the study of surface tension and, in particular, model the shape of soap films. The mean curvature flow is a dynamic process that, roughly speaking, continuously deforms a surface in a manner that decreases its area as quickly as possible. It was first studied as a model of certain phenomena in materials science and has also found applications in computer graphics and image recognition. Finally, the project has several educational components and the organization of many workshops and seminars.
The project will study several related geometric functionals defined on the space of submanifolds. These functionals share the feature of measuring complexity and are related with the theory of mean curvature. One focus is the Colding-Minicozzi entropy, which is closely linked with the mean curvature flow. Another is the Li-Yau conformal volume which has important applications to minimal surface theory and other geometric problems. The project will investigate these quantities and the ways that they interact with each other and with the theory of minimal submanifolds and mean curvature flow. A major area of emphasis will be on higher codimension submanifolds. Specifically, the PI proposes to study surfaces in certain symmetric four-manifolds. The stability operator is poorly understood when the codimension is more than one and this is a major source of difficulty blocking progress on such topics. The project will start with the simplest settings by systematically utilizing the various available techniques and by developing new ones.
This award reflects NSF's statutory mission and has been deemed worthy of support through evaluation using the Foundation's intellectual merit and broader impacts review criteria.</t>
        </is>
      </c>
      <c r="AJ110" s="23" t="inlineStr"/>
    </row>
    <row r="111" ht="18" customHeight="1">
      <c r="A111" s="25" t="inlineStr">
        <is>
          <t>2513337</t>
        </is>
      </c>
      <c r="B111" s="26" t="inlineStr">
        <is>
          <t>Physics and Astrophysics of Compact Binaries</t>
        </is>
      </c>
      <c r="C111" s="25" t="inlineStr">
        <is>
          <t>Standard Grant</t>
        </is>
      </c>
      <c r="D111" s="25" t="inlineStr">
        <is>
          <t>true</t>
        </is>
      </c>
      <c r="E111" s="25" t="inlineStr">
        <is>
          <t>07/14/2025</t>
        </is>
      </c>
      <c r="F111" s="25" t="inlineStr">
        <is>
          <t>07/15/2025</t>
        </is>
      </c>
      <c r="G111" s="25" t="inlineStr">
        <is>
          <t>06/30/2027</t>
        </is>
      </c>
      <c r="H111" s="25" t="inlineStr">
        <is>
          <t>2025</t>
        </is>
      </c>
      <c r="I111" s="27" t="n">
        <v>400000</v>
      </c>
      <c r="J111" s="27" t="n">
        <v>400000</v>
      </c>
      <c r="K111" s="25" t="inlineStr">
        <is>
          <t>Emanuele</t>
        </is>
      </c>
      <c r="L111" s="25" t="inlineStr">
        <is>
          <t>Berti</t>
        </is>
      </c>
      <c r="M111" s="25" t="inlineStr">
        <is>
          <t>berti@jhu.edu</t>
        </is>
      </c>
      <c r="N111" s="25" t="inlineStr"/>
      <c r="O111" s="25" t="inlineStr">
        <is>
          <t>Emanuele Berti</t>
        </is>
      </c>
      <c r="P111" s="25" t="inlineStr">
        <is>
          <t>Pedro Marronetti</t>
        </is>
      </c>
      <c r="Q111" s="25" t="inlineStr">
        <is>
          <t>pmarrone@nsf.gov</t>
        </is>
      </c>
      <c r="R111" s="25" t="inlineStr">
        <is>
          <t>THE JOHNS HOPKINS UNIVERSITY</t>
        </is>
      </c>
      <c r="S111" s="25" t="inlineStr">
        <is>
          <t>BALTIMORE</t>
        </is>
      </c>
      <c r="T111" s="25" t="inlineStr">
        <is>
          <t>MD</t>
        </is>
      </c>
      <c r="U111" s="25" t="inlineStr">
        <is>
          <t>212182608</t>
        </is>
      </c>
      <c r="V111" s="25" t="inlineStr">
        <is>
          <t>FTMTDMBR29C7</t>
        </is>
      </c>
      <c r="W111" s="25" t="inlineStr">
        <is>
          <t>BALTIMORE</t>
        </is>
      </c>
      <c r="X111" s="25" t="inlineStr">
        <is>
          <t>MD</t>
        </is>
      </c>
      <c r="Y111" s="25" t="inlineStr">
        <is>
          <t>MPS</t>
        </is>
      </c>
      <c r="Z111" s="25" t="inlineStr">
        <is>
          <t>PHY</t>
        </is>
      </c>
      <c r="AA111" s="26" t="inlineStr">
        <is>
          <t>Gravity Theory</t>
        </is>
      </c>
      <c r="AB111" s="25" t="inlineStr"/>
      <c r="AC111" s="25" t="inlineStr">
        <is>
          <t>124400</t>
        </is>
      </c>
      <c r="AD111" s="25" t="inlineStr"/>
      <c r="AE111" s="25" t="inlineStr">
        <is>
          <t>47.049</t>
        </is>
      </c>
      <c r="AF111" s="25" t="inlineStr">
        <is>
          <t>1</t>
        </is>
      </c>
      <c r="AG111" s="25" t="inlineStr">
        <is>
          <t>07/14/2025</t>
        </is>
      </c>
      <c r="AH111" s="25" t="inlineStr">
        <is>
          <t>07/14/2025</t>
        </is>
      </c>
      <c r="AI111" s="26" t="inlineStr">
        <is>
          <t>The principal motivation of this project is to exploit gravitational-wave observations to gain a deeper understanding of gravity and to test the nature of black holes via "black hole spectroscopy." The spinning, deformed black hole formed when two black holes merge rings down like a bell. The idea of black hole spectroscopy is that such a deformed black hole can be treated as a "gravitational atom" (in analogy with atomic spectra), because its damped oscillation frequencies (the "quasinormal modes") carry unique fingerprints of spacetime dynamics. With the expected increase in volume coverage of LIGO-Virgo-KAGRA (LVK) in their fourth and fifth observational runs O4 and O5, and with the ramping up of activity on Cosmic Explorer in the US and the Einstein Telescope in Europe, this work is timely, geared at enhancing the scope of the physics and astrophysics enabled by ground-based interferometers. The project will train students and postdocs in a highly interdisciplinary field that requires expertise in general relativity, astrophysics, data analysis, and high-energy physics. The students and postdocs will benefit from interactions with a large international network of world-leading experts in gravitational physics.
Large financial resources have been invested in advanced detector design on the experimental side, and in a community effort to build compact binary detection templates on the theoretical/data analysis side.  The first gravitational-wave detections by the LVK collaboration were a major milestone, but for gravitational-wave science to make even more groundbreaking contributions, we must be able to go beyond detections, extracting fundamental physics from the strong-gravity dynamics of the sources. This project on black hole spectroscopy has four main objectives: (1) to build models for the amplitudes of linear and nonlinear quasinormal modes; (2) to understand and alleviate ringdown modeling systematics in real data; (3) to clarify the connection between ringdown and light-ring physics; (4) to search for deviations from general relativity using parametrized ringdown tests. The reduced budget and duration of the award will allow us to complete only about half of the projects listed in the original proposal.
This award reflects NSF's statutory mission and has been deemed worthy of support through evaluation using the Foundation's intellectual merit and broader impacts review criteria.</t>
        </is>
      </c>
      <c r="AJ111" s="26" t="inlineStr"/>
    </row>
    <row r="112" ht="18" customHeight="1">
      <c r="A112" s="22" t="inlineStr">
        <is>
          <t>2442221</t>
        </is>
      </c>
      <c r="B112" s="23" t="inlineStr">
        <is>
          <t>CAREER: Enhancing Privacy Literacy for Elementary School Children via Long-Term Family, School, and Community Partnerships</t>
        </is>
      </c>
      <c r="C112" s="22" t="inlineStr">
        <is>
          <t>Continuing Grant</t>
        </is>
      </c>
      <c r="D112" s="22" t="inlineStr">
        <is>
          <t>true</t>
        </is>
      </c>
      <c r="E112" s="22" t="inlineStr">
        <is>
          <t>07/15/2025</t>
        </is>
      </c>
      <c r="F112" s="22" t="inlineStr">
        <is>
          <t>07/15/2025</t>
        </is>
      </c>
      <c r="G112" s="22" t="inlineStr">
        <is>
          <t>06/30/2030</t>
        </is>
      </c>
      <c r="H112" s="22" t="inlineStr">
        <is>
          <t>2025</t>
        </is>
      </c>
      <c r="I112" s="24" t="n">
        <v>363712</v>
      </c>
      <c r="J112" s="24" t="n">
        <v>649965</v>
      </c>
      <c r="K112" s="22" t="inlineStr">
        <is>
          <t>Yaxing</t>
        </is>
      </c>
      <c r="L112" s="22" t="inlineStr">
        <is>
          <t>Yao</t>
        </is>
      </c>
      <c r="M112" s="22" t="inlineStr">
        <is>
          <t>yaxing@jhu.edu</t>
        </is>
      </c>
      <c r="N112" s="22" t="inlineStr"/>
      <c r="O112" s="22" t="inlineStr">
        <is>
          <t>Yaxing Yao</t>
        </is>
      </c>
      <c r="P112" s="22" t="inlineStr">
        <is>
          <t>Dan Cosley</t>
        </is>
      </c>
      <c r="Q112" s="22" t="inlineStr">
        <is>
          <t>dcosley@nsf.gov</t>
        </is>
      </c>
      <c r="R112" s="22" t="inlineStr">
        <is>
          <t>THE JOHNS HOPKINS UNIVERSITY</t>
        </is>
      </c>
      <c r="S112" s="22" t="inlineStr">
        <is>
          <t>BALTIMORE</t>
        </is>
      </c>
      <c r="T112" s="22" t="inlineStr">
        <is>
          <t>MD</t>
        </is>
      </c>
      <c r="U112" s="22" t="inlineStr">
        <is>
          <t>212182608</t>
        </is>
      </c>
      <c r="V112" s="22" t="inlineStr">
        <is>
          <t>FTMTDMBR29C7</t>
        </is>
      </c>
      <c r="W112" s="22" t="inlineStr">
        <is>
          <t>Baltimore</t>
        </is>
      </c>
      <c r="X112" s="22" t="inlineStr">
        <is>
          <t>MD</t>
        </is>
      </c>
      <c r="Y112" s="22" t="inlineStr">
        <is>
          <t>CSE</t>
        </is>
      </c>
      <c r="Z112" s="22" t="inlineStr">
        <is>
          <t>CNS</t>
        </is>
      </c>
      <c r="AA112" s="23" t="inlineStr">
        <is>
          <t>Secure &amp;Trustworthy Cyberspace</t>
        </is>
      </c>
      <c r="AB112" s="22" t="inlineStr">
        <is>
          <t>SaTC: Secure and Trustworthy Cyberspace, Human factors for security research, CAREER-Faculty Erly Career Dev, CNCI</t>
        </is>
      </c>
      <c r="AC112" s="22" t="inlineStr">
        <is>
          <t>806000</t>
        </is>
      </c>
      <c r="AD112" s="22" t="inlineStr">
        <is>
          <t>025Z, 065Z, 1045, 7434</t>
        </is>
      </c>
      <c r="AE112" s="22" t="inlineStr">
        <is>
          <t>47.070, 47.075</t>
        </is>
      </c>
      <c r="AF112" s="22" t="inlineStr">
        <is>
          <t>1</t>
        </is>
      </c>
      <c r="AG112" s="22" t="inlineStr">
        <is>
          <t>07/15/2025</t>
        </is>
      </c>
      <c r="AH112" s="22" t="inlineStr">
        <is>
          <t>07/15/2025</t>
        </is>
      </c>
      <c r="AI112" s="23" t="inlineStr">
        <is>
          <t>In our increasingly digital world, children are exposed to technology that collects and uses personal data at younger ages than ever before. This makes understanding and protecting personal privacy a crucial life skill. However, teaching young children about privacy is not just about online safety; it's about empowering them to understand their rights, make informed choices, and build healthy relationships with technology. This project focuses on this urgent need and proposes a collaborative approach to privacy education for elementary school children (ages 5 to 10). The project develops a new learning model that builds partnerships among families, schools, and community organizations like libraries and museums. By working together and leveraging the unique strengths of each role, the project will create a supportive network that reinforces privacy concepts, fosters critical thinking about privacy, and helps elementary children navigate the digital landscape with confidence. This collaborative approach will equip our youngest citizens with the essential tools to protect themselves and respect the privacy of others, ensuring a safer digital future for all.
The project work is organized around two main thrusts. In the first thrust, inspired by Epstein's Theory of Overlapping Spheres of Influence, the investigator will conduct interviews, focus groups, and co-design sessions with parents, teachers, and community members to identify opportunities and challenges in supporting partnerships. The results will inform the development of privacy education tools designed to foster collaboration and partnerships among stakeholders. In the second thrust, the project team will conduct a three-year field deployment study to examine the long-term impact of partnership-enabled privacy education on children's privacy literacy development. During the field study, the investigator will deploy the materials, methods, and systems developed in the first thrust with families and collect data about children's privacy literacy development progress through learning stories, questionnaires, interviews, and system logs. These data ensure a comprehensive understanding of children's privacy learning trajectories. This research will yield a novel privacy education framework, design guidelines for collaborative tools, insights into the long-term impacts of privacy education, and an annotated dataset of children's privacy literacy development.
This award reflects NSF's statutory mission and has been deemed worthy of support through evaluation using the Foundation's intellectual merit and broader impacts review criteria.</t>
        </is>
      </c>
      <c r="AJ112" s="23" t="inlineStr"/>
    </row>
    <row r="113" ht="18" customHeight="1">
      <c r="A113" s="25" t="inlineStr">
        <is>
          <t>2452522</t>
        </is>
      </c>
      <c r="B113" s="26" t="inlineStr">
        <is>
          <t>Collaborative Research: The Role of Interplanetary Shock Parameters in Their Propagation Through the Earth's Magnetosphere, and Their Impact on Particle Populations</t>
        </is>
      </c>
      <c r="C113" s="25" t="inlineStr">
        <is>
          <t>Standard Grant</t>
        </is>
      </c>
      <c r="D113" s="25" t="inlineStr">
        <is>
          <t>true</t>
        </is>
      </c>
      <c r="E113" s="25" t="inlineStr">
        <is>
          <t>06/27/2025</t>
        </is>
      </c>
      <c r="F113" s="25" t="inlineStr">
        <is>
          <t>07/01/2025</t>
        </is>
      </c>
      <c r="G113" s="25" t="inlineStr">
        <is>
          <t>06/30/2028</t>
        </is>
      </c>
      <c r="H113" s="25" t="inlineStr">
        <is>
          <t>2025</t>
        </is>
      </c>
      <c r="I113" s="27" t="n">
        <v>192000</v>
      </c>
      <c r="J113" s="27" t="n">
        <v>192000</v>
      </c>
      <c r="K113" s="25" t="inlineStr">
        <is>
          <t>Adam</t>
        </is>
      </c>
      <c r="L113" s="25" t="inlineStr">
        <is>
          <t>Michael</t>
        </is>
      </c>
      <c r="M113" s="25" t="inlineStr">
        <is>
          <t>adam.michael@jhuapl.edu</t>
        </is>
      </c>
      <c r="N113" s="25" t="inlineStr"/>
      <c r="O113" s="25" t="inlineStr">
        <is>
          <t>Adam T Michael</t>
        </is>
      </c>
      <c r="P113" s="25" t="inlineStr">
        <is>
          <t>Mangala Sharma</t>
        </is>
      </c>
      <c r="Q113" s="25" t="inlineStr">
        <is>
          <t>msharma@nsf.gov</t>
        </is>
      </c>
      <c r="R113" s="25" t="inlineStr">
        <is>
          <t>THE JOHNS HOPKINS UNIVERSITY</t>
        </is>
      </c>
      <c r="S113" s="25" t="inlineStr">
        <is>
          <t>BALTIMORE</t>
        </is>
      </c>
      <c r="T113" s="25" t="inlineStr">
        <is>
          <t>MD</t>
        </is>
      </c>
      <c r="U113" s="25" t="inlineStr">
        <is>
          <t>212182608</t>
        </is>
      </c>
      <c r="V113" s="25" t="inlineStr">
        <is>
          <t>FTMTDMBR29C7</t>
        </is>
      </c>
      <c r="W113" s="25" t="inlineStr">
        <is>
          <t>BALTIMORE</t>
        </is>
      </c>
      <c r="X113" s="25" t="inlineStr">
        <is>
          <t>MD</t>
        </is>
      </c>
      <c r="Y113" s="25" t="inlineStr">
        <is>
          <t>GEO</t>
        </is>
      </c>
      <c r="Z113" s="25" t="inlineStr">
        <is>
          <t>AGS</t>
        </is>
      </c>
      <c r="AA113" s="26" t="inlineStr">
        <is>
          <t>MAGNETOSPHERIC PHYSICS</t>
        </is>
      </c>
      <c r="AB113" s="25" t="inlineStr"/>
      <c r="AC113" s="25" t="inlineStr">
        <is>
          <t>575000</t>
        </is>
      </c>
      <c r="AD113" s="25" t="inlineStr"/>
      <c r="AE113" s="25" t="inlineStr">
        <is>
          <t>47.050</t>
        </is>
      </c>
      <c r="AF113" s="25" t="inlineStr">
        <is>
          <t>1</t>
        </is>
      </c>
      <c r="AG113" s="25" t="inlineStr">
        <is>
          <t>06/27/2025</t>
        </is>
      </c>
      <c r="AH113" s="25" t="inlineStr">
        <is>
          <t>06/27/2025</t>
        </is>
      </c>
      <c r="AI113" s="26" t="inlineStr">
        <is>
          <t>The research will provide a more detailed understanding of the ways that interplanetary (IP) shocks, a common space weather event, can impact Earth’s magnetic environment (magnetosphere). Past studies have focused on a limited range of shock properties that do not reflect the possible breadth of parameters. This research study will expand the range of shock properties investigated by comparing observations from multiple space missions with detailed computer simulations. These detailed, multi-platform studies will be the first to fully exploit existing data sets to address fundamental problems that are vital for achieving NSF’s strategic goals. Such events may affect technological systems, astronauts and spacecraft, electrical power grids, and other important technologies that modern society has come to depend on. The long-term impact of the study will be to significantly benefit society by allowing us to eventually predict the geoeffectiveness of potential IP shock impacts and take steps to mitigate their damage. The results of our study may also be relevant to understanding the behavior of other planetary magnetospheres to IP shock impacts.
Numerous satellites orbit the Earth within its magnetosphere, often taking measurements simultaneously after the occurrence of space weather events such as interplanetary shocks. The research will investigate a large database of such simultaneous observations, showing how different regions of near-Earth space react to shocks with different properties. This analysis will be complemented by computer simulations that investigate variations in one shock property at a time, which will reveal the most important properties or combinations and their possible consequences. Specifically, we will determine how the response, typically an electromagnetic wave pulse, propagates through the magnetosphere (radially, azimuthally, or a combination thereof); what wave mode and Poynting flux are associated with this response; and how the wave mode evolves. We will also characterize particle energization, scattering, and loss associated with the passage of the pulse through the dayside magnetosphere.
This award reflects NSF's statutory mission and has been deemed worthy of support through evaluation using the Foundation's intellectual merit and broader impacts review criteria.</t>
        </is>
      </c>
      <c r="AJ113" s="26" t="inlineStr"/>
    </row>
    <row r="114" ht="18" customHeight="1">
      <c r="A114" s="22" t="inlineStr">
        <is>
          <t>2504861</t>
        </is>
      </c>
      <c r="B114" s="23" t="inlineStr">
        <is>
          <t>Collaborative Research: OAC Core: Cyberinfrastructure for AI-Enabled Multimodal Prediction of Extreme Events in Space Weather</t>
        </is>
      </c>
      <c r="C114" s="22" t="inlineStr">
        <is>
          <t>Standard Grant</t>
        </is>
      </c>
      <c r="D114" s="22" t="inlineStr">
        <is>
          <t>true</t>
        </is>
      </c>
      <c r="E114" s="22" t="inlineStr">
        <is>
          <t>05/28/2025</t>
        </is>
      </c>
      <c r="F114" s="22" t="inlineStr">
        <is>
          <t>07/01/2025</t>
        </is>
      </c>
      <c r="G114" s="22" t="inlineStr">
        <is>
          <t>06/30/2028</t>
        </is>
      </c>
      <c r="H114" s="22" t="inlineStr">
        <is>
          <t>2025</t>
        </is>
      </c>
      <c r="I114" s="24" t="n">
        <v>109930</v>
      </c>
      <c r="J114" s="24" t="n">
        <v>109930</v>
      </c>
      <c r="K114" s="22" t="inlineStr">
        <is>
          <t>Emmanouil</t>
        </is>
      </c>
      <c r="L114" s="22" t="inlineStr">
        <is>
          <t>Georgoulis</t>
        </is>
      </c>
      <c r="M114" s="22" t="inlineStr">
        <is>
          <t>manolis.georgoulis@jhuapl.edu</t>
        </is>
      </c>
      <c r="N114" s="22" t="inlineStr"/>
      <c r="O114" s="22" t="inlineStr">
        <is>
          <t>Emmanouil K Georgoulis</t>
        </is>
      </c>
      <c r="P114" s="22" t="inlineStr">
        <is>
          <t>Sheikh Ghafoor</t>
        </is>
      </c>
      <c r="Q114" s="22" t="inlineStr">
        <is>
          <t>sghafoor@nsf.gov</t>
        </is>
      </c>
      <c r="R114" s="22" t="inlineStr">
        <is>
          <t>THE JOHNS HOPKINS UNIVERSITY</t>
        </is>
      </c>
      <c r="S114" s="22" t="inlineStr">
        <is>
          <t>BALTIMORE</t>
        </is>
      </c>
      <c r="T114" s="22" t="inlineStr">
        <is>
          <t>MD</t>
        </is>
      </c>
      <c r="U114" s="22" t="inlineStr">
        <is>
          <t>212182608</t>
        </is>
      </c>
      <c r="V114" s="22" t="inlineStr">
        <is>
          <t>FTMTDMBR29C7</t>
        </is>
      </c>
      <c r="W114" s="22" t="inlineStr">
        <is>
          <t>Laurel</t>
        </is>
      </c>
      <c r="X114" s="22" t="inlineStr">
        <is>
          <t>MD</t>
        </is>
      </c>
      <c r="Y114" s="22" t="inlineStr">
        <is>
          <t>CSE</t>
        </is>
      </c>
      <c r="Z114" s="22" t="inlineStr">
        <is>
          <t>OAC</t>
        </is>
      </c>
      <c r="AA114" s="23" t="inlineStr">
        <is>
          <t>OAC-Advanced Cyberinfrast Core</t>
        </is>
      </c>
      <c r="AB114" s="22" t="inlineStr">
        <is>
          <t>SMALL PROJECT</t>
        </is>
      </c>
      <c r="AC114" s="22" t="inlineStr">
        <is>
          <t>090Y00</t>
        </is>
      </c>
      <c r="AD114" s="22" t="inlineStr">
        <is>
          <t>7923</t>
        </is>
      </c>
      <c r="AE114" s="22" t="inlineStr">
        <is>
          <t>47.070</t>
        </is>
      </c>
      <c r="AF114" s="22" t="inlineStr">
        <is>
          <t>1</t>
        </is>
      </c>
      <c r="AG114" s="22" t="inlineStr">
        <is>
          <t>05/28/2025</t>
        </is>
      </c>
      <c r="AH114" s="22" t="inlineStr">
        <is>
          <t>05/28/2025</t>
        </is>
      </c>
      <c r="AI114" s="23" t="inlineStr">
        <is>
          <t>Extreme space weather events can disrupt satellite communications, GPS systems, and power grids and even pose risks to astronauts. Understanding and predicting these events is essential for protecting critical infrastructure and ensuring national security. This project aims to develop an advanced cyberinfrastructure that integrates artificial intelligence (AI) with diverse space weather data to improve the forecasting of extreme space weather events. By incorporating generative AI models for data creation, the project enables predictive analyses that are both data-rich and scalable. This significantly enhances the ability to forecast extreme events, including solar flares, coronal mass ejections, and solar energetic particle events, thus helping mitigate their effects on technological systems. Additionally, the project fosters collaboration between computer scientists and heliophysicists while providing open-access tools and datasets to the research community. The project also involves student groups in hands-on research and training, offering mentorship opportunities, and partnering with high schools. This contributes to building a skilled STEM workforce, advancing scientific knowledge through data-driven analysis, advancing core scientific knowledge and contributing to national security.
This project develops a cyberinfrastructure for AI-enabled multimodal extreme space weather events forecasting. The cyberinfrastructure enables predictive modeling of solar transient events by integrating solar photospheric magnetogram data spanning three solar cycles or more than 30 calendar years. A key technical advancement is the application of generative AI, with a physics-infused conditional diffusion model, to enhance historical datasets by filling spatial and temporal resolution gaps. Another significant contribution is using multimodal machine learning and explainability techniques to improve the current state-of-the-art space weather prediction methods. The project builds a homogenized dataset of vector magnetograms, open-access computational tools, and machine learning models to process vector magnetograms, time series, and derived metadata parameters. The cyberinfrastructure integrates scalable generative AI techniques and multimodal learning frameworks to optimize forecasts of solar flares, coronal mass ejections, and solar energetic particle events while providing an interoperable learning framework for heliophysics research, benefiting both the scientific community and sectors reliant on accurate space weather predictions.
This award reflects NSF's statutory mission and has been deemed worthy of support through evaluation using the Foundation's intellectual merit and broader impacts review criteria.</t>
        </is>
      </c>
      <c r="AJ114" s="23" t="inlineStr"/>
    </row>
    <row r="115" ht="18" customHeight="1">
      <c r="A115" s="25" t="inlineStr">
        <is>
          <t>2442615</t>
        </is>
      </c>
      <c r="B115" s="26" t="inlineStr">
        <is>
          <t>CAREER: Scalable Optimization for Data Science: Complexity and Structure</t>
        </is>
      </c>
      <c r="C115" s="25" t="inlineStr">
        <is>
          <t>Continuing Grant</t>
        </is>
      </c>
      <c r="D115" s="25" t="inlineStr">
        <is>
          <t>true</t>
        </is>
      </c>
      <c r="E115" s="25" t="inlineStr">
        <is>
          <t>02/20/2025</t>
        </is>
      </c>
      <c r="F115" s="25" t="inlineStr">
        <is>
          <t>07/01/2025</t>
        </is>
      </c>
      <c r="G115" s="25" t="inlineStr">
        <is>
          <t>06/30/2030</t>
        </is>
      </c>
      <c r="H115" s="25" t="inlineStr">
        <is>
          <t>2025</t>
        </is>
      </c>
      <c r="I115" s="27" t="n">
        <v>118760</v>
      </c>
      <c r="J115" s="27" t="n">
        <v>641463</v>
      </c>
      <c r="K115" s="25" t="inlineStr">
        <is>
          <t>Mateo</t>
        </is>
      </c>
      <c r="L115" s="25" t="inlineStr">
        <is>
          <t>Diaz Diaz</t>
        </is>
      </c>
      <c r="M115" s="25" t="inlineStr">
        <is>
          <t>mateodd@jhu.edu</t>
        </is>
      </c>
      <c r="N115" s="25" t="inlineStr"/>
      <c r="O115" s="25" t="inlineStr">
        <is>
          <t>Mateo Diaz Diaz</t>
        </is>
      </c>
      <c r="P115" s="25" t="inlineStr">
        <is>
          <t>Phillip Regalia</t>
        </is>
      </c>
      <c r="Q115" s="25" t="inlineStr">
        <is>
          <t>pregalia@nsf.gov</t>
        </is>
      </c>
      <c r="R115" s="25" t="inlineStr">
        <is>
          <t>THE JOHNS HOPKINS UNIVERSITY</t>
        </is>
      </c>
      <c r="S115" s="25" t="inlineStr">
        <is>
          <t>BALTIMORE</t>
        </is>
      </c>
      <c r="T115" s="25" t="inlineStr">
        <is>
          <t>MD</t>
        </is>
      </c>
      <c r="U115" s="25" t="inlineStr">
        <is>
          <t>212182608</t>
        </is>
      </c>
      <c r="V115" s="25" t="inlineStr">
        <is>
          <t>FTMTDMBR29C7</t>
        </is>
      </c>
      <c r="W115" s="25" t="inlineStr">
        <is>
          <t>BALTIMORE</t>
        </is>
      </c>
      <c r="X115" s="25" t="inlineStr">
        <is>
          <t>MD</t>
        </is>
      </c>
      <c r="Y115" s="25" t="inlineStr">
        <is>
          <t>CSE</t>
        </is>
      </c>
      <c r="Z115" s="25" t="inlineStr">
        <is>
          <t>CCF</t>
        </is>
      </c>
      <c r="AA115" s="26" t="inlineStr">
        <is>
          <t>Comm &amp; Information Foundations</t>
        </is>
      </c>
      <c r="AB115" s="25" t="inlineStr">
        <is>
          <t>Machine Learning Theory, CAREER-Faculty Erly Career Dev, SMALL PROJECT, WOMEN, MINORITY, DISABLED, NEC</t>
        </is>
      </c>
      <c r="AC115" s="25" t="inlineStr">
        <is>
          <t>779700</t>
        </is>
      </c>
      <c r="AD115" s="25" t="inlineStr">
        <is>
          <t>079Z, 1045, 7923, 9102</t>
        </is>
      </c>
      <c r="AE115" s="25" t="inlineStr">
        <is>
          <t>47.070</t>
        </is>
      </c>
      <c r="AF115" s="25" t="inlineStr">
        <is>
          <t>1</t>
        </is>
      </c>
      <c r="AG115" s="25" t="inlineStr">
        <is>
          <t>02/20/2025</t>
        </is>
      </c>
      <c r="AH115" s="25" t="inlineStr">
        <is>
          <t>02/20/2025</t>
        </is>
      </c>
      <c r="AI115" s="26" t="inlineStr">
        <is>
          <t>Large-scale optimization has become a pervasive feature of our daily lives. Optimization algorithms empower most of the data science and machine learning technologies currently used for decision-making in several sectors, such as healthcare, energy, transportation, manufacturing, and finance. Despite its widespread adoption, there are still significant gaps between theory and practice in optimization. In some sectors, simple heuristics, e.g., stochastic gradient descent, yield incredibly effective results while lacking basic theoretical guarantees. Meanwhile, other sectors rely on traditional algorithms, e.g., interior point methods, that have strong guarantees but struggle to scale to contemporary problem sizes. The goal of this project is to advance the state of the art of optimization theory and algorithms to tackle the unique challenges posed by modern data science problems. This award integrates research efforts with activities that broaden STEM participation and expand educational opportunities; these include mentoring high school students through the Johns Hopkins Center for Educational Outreach, advising diverse group of graduate students, developing novel courses on the practice and theory of data science, and disseminating methods via open-source software to encourage broad adoption.
To achieve its research goal, this CAREER award will develop novel tools to analyze the computational and statistical complexity of off-the-shelf heuristics that perform well even in nonconvex, nonsmooth settings. Capitalizing on these insights, the project will design new algorithmic solutions that circumvent the computational pitfalls of traditional methods. The guiding principle to tackle these challenges will be structure. On the one hand, although nonconvex, nonsmooth problems appearing in applications are known to be NP-hard, this notion only captures worst-case complexity. In practice, many problems enjoy additional benign geometric structure, enabling simple heuristics to succeed. On the other hand, this project will leverage the inherent structure of problems to design faster, parallelizable algorithms that can fully utilize modern machine learning infrastructure. These algorithms will be evaluated on optimization formulations from various applications spanning X-ray crystallography, phase space tomography, and recommendation systems.
This award reflects NSF's statutory mission and has been deemed worthy of support through evaluation using the Foundation's intellectual merit and broader impacts review criteria.</t>
        </is>
      </c>
      <c r="AJ115" s="26" t="inlineStr"/>
    </row>
    <row r="116" ht="18" customHeight="1">
      <c r="A116" s="22" t="inlineStr">
        <is>
          <t>2532037</t>
        </is>
      </c>
      <c r="B116" s="23" t="inlineStr">
        <is>
          <t>I-Corps: Translation Potential of a Medical Device to Relieve Nasal Congestion Using Neuromodulation</t>
        </is>
      </c>
      <c r="C116" s="22" t="inlineStr">
        <is>
          <t>Standard Grant</t>
        </is>
      </c>
      <c r="D116" s="22" t="inlineStr">
        <is>
          <t>true</t>
        </is>
      </c>
      <c r="E116" s="22" t="inlineStr">
        <is>
          <t>06/30/2025</t>
        </is>
      </c>
      <c r="F116" s="22" t="inlineStr">
        <is>
          <t>07/01/2025</t>
        </is>
      </c>
      <c r="G116" s="22" t="inlineStr">
        <is>
          <t>06/30/2026</t>
        </is>
      </c>
      <c r="H116" s="22" t="inlineStr">
        <is>
          <t>2025</t>
        </is>
      </c>
      <c r="I116" s="24" t="n">
        <v>50000</v>
      </c>
      <c r="J116" s="24" t="n">
        <v>50000</v>
      </c>
      <c r="K116" s="22" t="inlineStr">
        <is>
          <t>Nicholas</t>
        </is>
      </c>
      <c r="L116" s="22" t="inlineStr">
        <is>
          <t>Rowan</t>
        </is>
      </c>
      <c r="M116" s="22" t="inlineStr">
        <is>
          <t>nrowan1@jhmi.edu</t>
        </is>
      </c>
      <c r="N116" s="22" t="inlineStr"/>
      <c r="O116" s="22" t="inlineStr">
        <is>
          <t>Nicholas R Rowan</t>
        </is>
      </c>
      <c r="P116" s="22" t="inlineStr">
        <is>
          <t>Ruth Shuman</t>
        </is>
      </c>
      <c r="Q116" s="22" t="inlineStr">
        <is>
          <t>rshuman@nsf.gov</t>
        </is>
      </c>
      <c r="R116" s="22" t="inlineStr">
        <is>
          <t>THE JOHNS HOPKINS UNIVERSITY</t>
        </is>
      </c>
      <c r="S116" s="22" t="inlineStr">
        <is>
          <t>BALTIMORE</t>
        </is>
      </c>
      <c r="T116" s="22" t="inlineStr">
        <is>
          <t>MD</t>
        </is>
      </c>
      <c r="U116" s="22" t="inlineStr">
        <is>
          <t>212182608</t>
        </is>
      </c>
      <c r="V116" s="22" t="inlineStr">
        <is>
          <t>FTMTDMBR29C7</t>
        </is>
      </c>
      <c r="W116" s="22" t="inlineStr">
        <is>
          <t>BALTIMORE</t>
        </is>
      </c>
      <c r="X116" s="22" t="inlineStr">
        <is>
          <t>MD</t>
        </is>
      </c>
      <c r="Y116" s="22" t="inlineStr">
        <is>
          <t>TIP</t>
        </is>
      </c>
      <c r="Z116" s="22" t="inlineStr">
        <is>
          <t>TI</t>
        </is>
      </c>
      <c r="AA116" s="23" t="inlineStr">
        <is>
          <t>I-Corps</t>
        </is>
      </c>
      <c r="AB116" s="22" t="inlineStr">
        <is>
          <t>BIOMEDICAL ENGINEERING</t>
        </is>
      </c>
      <c r="AC116" s="22" t="inlineStr">
        <is>
          <t>802300</t>
        </is>
      </c>
      <c r="AD116" s="22" t="inlineStr">
        <is>
          <t>5345</t>
        </is>
      </c>
      <c r="AE116" s="22" t="inlineStr">
        <is>
          <t>47.084</t>
        </is>
      </c>
      <c r="AF116" s="22" t="inlineStr">
        <is>
          <t>1</t>
        </is>
      </c>
      <c r="AG116" s="22" t="inlineStr">
        <is>
          <t>06/30/2025</t>
        </is>
      </c>
      <c r="AH116" s="22" t="inlineStr">
        <is>
          <t>06/30/2025</t>
        </is>
      </c>
      <c r="AI116" s="23" t="inlineStr">
        <is>
          <t>This I-Corps project focuses on the development of a non-invasive neuromodulation oral appliance designed to relieve the symptoms of chronic rhinosinusitis. Chronic rhinosinusitis affects 40 million U.S. adults and causes persistent nasal congestion, facial pain, mucus overproduction, headaches, and poor sleep. Existing pharmaceutical treatments rely on nasal sprays and other anti-inflammatory drugs but fail to provide relief in around 50% of patients. When medications fail, some patients may qualify for invasive and costly surgery. However, symptom recurrence after surgery is common, leaving millions of patients without an effective solution to get symptom relief. This project addresses this gap in care by exploring an alternative method that targets the nasal nerve pathways shown to contribute to excessive mucus production and inflammation. The goal is to offer a drug-free, effective, and accessible approach to improve daily functioning, sleep, and quality of life. By reducing dependence on costly medications and surgical procedures, this technology has the potential to save up to $1 billion annually on healthcare costs, improve productivity, and reduce the burden of chronic sinus disease on patients, families, and the healthcare system. 
This I-Corps project utilizes experiential learning coupled with a first-hand investigation of the industry ecosystem to assess the translation potential of the technology. This solution is based on the development of an oral device that delivers gentle electrical stimulation to nerve pathways in the nasal cavity. The technology introduces an innovative neuromodulation approach for treating the symptoms of chronic rhinosinusitis, addressing a critical gap in current therapies that overlook the role of neural overstimulation in sinonasal inflammatory disease. Unlike existing therapies that rely on immune suppression or invasive procedures, this approach is the first to address the neurological component of chronic sinus disease using a non-invasive, drug-free method. The device is a custom-fitted mouthguard that delivers gentle electrical pulses to the nasal cavity. This neuromodulation technology was validated in a successful animal model, showing significant decongestion and improved nasal airflow. Following successful preclinical validation, the device is undergoing human testing. This early success points to the device's potential to improve chronic rhinosinusitis management, giving patients greater autonomy over symptom control and relief.
This award reflects NSF's statutory mission and has been deemed worthy of support through evaluation using the Foundation's intellectual merit and broader impacts review criteria.</t>
        </is>
      </c>
      <c r="AJ116" s="23" t="inlineStr"/>
    </row>
    <row r="117" ht="18" customHeight="1">
      <c r="A117" s="25" t="inlineStr">
        <is>
          <t>2451634</t>
        </is>
      </c>
      <c r="B117" s="26" t="inlineStr">
        <is>
          <t>ASSEMBLY-FUNCTION RELATIONS IN SIGNAL TRANSDUCTION ACROSS THE PLASMA MEMBRANE</t>
        </is>
      </c>
      <c r="C117" s="25" t="inlineStr">
        <is>
          <t>Standard Grant</t>
        </is>
      </c>
      <c r="D117" s="25" t="inlineStr">
        <is>
          <t>true</t>
        </is>
      </c>
      <c r="E117" s="25" t="inlineStr">
        <is>
          <t>03/17/2025</t>
        </is>
      </c>
      <c r="F117" s="25" t="inlineStr">
        <is>
          <t>07/01/2025</t>
        </is>
      </c>
      <c r="G117" s="25" t="inlineStr">
        <is>
          <t>06/30/2028</t>
        </is>
      </c>
      <c r="H117" s="25" t="inlineStr">
        <is>
          <t>2025</t>
        </is>
      </c>
      <c r="I117" s="27" t="n">
        <v>987578</v>
      </c>
      <c r="J117" s="27" t="n">
        <v>987578</v>
      </c>
      <c r="K117" s="25" t="inlineStr">
        <is>
          <t>Kalina</t>
        </is>
      </c>
      <c r="L117" s="25" t="inlineStr">
        <is>
          <t>Hristova</t>
        </is>
      </c>
      <c r="M117" s="25" t="inlineStr">
        <is>
          <t>hristova@jhu.edu</t>
        </is>
      </c>
      <c r="N117" s="25" t="inlineStr"/>
      <c r="O117" s="25" t="inlineStr">
        <is>
          <t>Kalina Hristova</t>
        </is>
      </c>
      <c r="P117" s="25" t="inlineStr">
        <is>
          <t>Marcia Newcomer</t>
        </is>
      </c>
      <c r="Q117" s="25" t="inlineStr">
        <is>
          <t>mnewcome@nsf.gov</t>
        </is>
      </c>
      <c r="R117" s="25" t="inlineStr">
        <is>
          <t>THE JOHNS HOPKINS UNIVERSITY</t>
        </is>
      </c>
      <c r="S117" s="25" t="inlineStr">
        <is>
          <t>BALTIMORE</t>
        </is>
      </c>
      <c r="T117" s="25" t="inlineStr">
        <is>
          <t>MD</t>
        </is>
      </c>
      <c r="U117" s="25" t="inlineStr">
        <is>
          <t>212182608</t>
        </is>
      </c>
      <c r="V117" s="25" t="inlineStr">
        <is>
          <t>FTMTDMBR29C7</t>
        </is>
      </c>
      <c r="W117" s="25" t="inlineStr">
        <is>
          <t>BALTIMORE</t>
        </is>
      </c>
      <c r="X117" s="25" t="inlineStr">
        <is>
          <t>MD</t>
        </is>
      </c>
      <c r="Y117" s="25" t="inlineStr">
        <is>
          <t>BIO</t>
        </is>
      </c>
      <c r="Z117" s="25" t="inlineStr">
        <is>
          <t>MCB</t>
        </is>
      </c>
      <c r="AA117" s="26" t="inlineStr">
        <is>
          <t>Molecular Biophysics</t>
        </is>
      </c>
      <c r="AB117" s="25" t="inlineStr">
        <is>
          <t>NANOSCALE BIO CORE</t>
        </is>
      </c>
      <c r="AC117" s="25" t="inlineStr">
        <is>
          <t>114400</t>
        </is>
      </c>
      <c r="AD117" s="25" t="inlineStr">
        <is>
          <t>7465</t>
        </is>
      </c>
      <c r="AE117" s="25" t="inlineStr">
        <is>
          <t>47.074</t>
        </is>
      </c>
      <c r="AF117" s="25" t="inlineStr">
        <is>
          <t>1</t>
        </is>
      </c>
      <c r="AG117" s="25" t="inlineStr">
        <is>
          <t>03/17/2025</t>
        </is>
      </c>
      <c r="AH117" s="25" t="inlineStr">
        <is>
          <t>03/17/2025</t>
        </is>
      </c>
      <c r="AI117" s="26" t="inlineStr">
        <is>
          <t>Proteins known as “receptor tyrosine kinases” (RTKs) mediate the transmission of information across the cellular membrane, and thus allow the cell to respond to extracellular signals. Intercellular communication is a fundamental process in multicellular organisms and its precision is crucial for the control of growth and development. Multiple extracellular ligands can interact with an RTK to promote different intracellular events. The research project seeks to obtain quantitative information about the signaling properties of a member of the RTK family in response to its different ligands.  Highly quantitative biophysical methods will be used in an effort to understand how diverse extracellular signals are processed by this receptor to promote distinct events.  In this project, graduate students will be trained in state-of-the-art fluorescence microscopy techniques and the educational experience of undergraduate students will be enhanced.  In addition, broad outreach activities will be conducted benefiting young scientists.
The first objective is to acquire the first comprehensive data set of ligand-specific efficacies, potencies, and signaling preferences for multiple responses of the epidermal growth factor receptor (EGFR) to its ligands. This will entail acquisition of dose response curves for a variety of biological responses, yielding information about the potencies, efficacies and preferences of the ligands when inducing these responses. The second objective is to perform the first comprehensive physical-chemical characterization of the self-association of EGFR in the plasma membrane in response to its ligands. EGFR ligand-specific oligomer sizes (orders) and stabilities, and ligand binding coefficients, will be measured. The third objective is to uncover currently unknown correlations between measurable physical parameters and measurable signaling outcomes.
This award reflects NSF's statutory mission and has been deemed worthy of support through evaluation using the Foundation's intellectual merit and broader impacts review criteria.</t>
        </is>
      </c>
      <c r="AJ117" s="26" t="inlineStr"/>
    </row>
    <row r="118" ht="18" customHeight="1">
      <c r="A118" s="22" t="inlineStr">
        <is>
          <t>2519417</t>
        </is>
      </c>
      <c r="B118" s="23" t="inlineStr">
        <is>
          <t>Collaborative Research: CyberTraining: Implementation: Medium: Engaging Scholars in Cybersecurity Analysis: A Laboratory for Teaching and Education (ESCALATE)</t>
        </is>
      </c>
      <c r="C118" s="22" t="inlineStr">
        <is>
          <t>Standard Grant</t>
        </is>
      </c>
      <c r="D118" s="22" t="inlineStr">
        <is>
          <t>true</t>
        </is>
      </c>
      <c r="E118" s="22" t="inlineStr">
        <is>
          <t>06/25/2025</t>
        </is>
      </c>
      <c r="F118" s="22" t="inlineStr">
        <is>
          <t>07/01/2025</t>
        </is>
      </c>
      <c r="G118" s="22" t="inlineStr">
        <is>
          <t>06/30/2028</t>
        </is>
      </c>
      <c r="H118" s="22" t="inlineStr">
        <is>
          <t>2025</t>
        </is>
      </c>
      <c r="I118" s="24" t="n">
        <v>137893</v>
      </c>
      <c r="J118" s="24" t="n">
        <v>137893</v>
      </c>
      <c r="K118" s="22" t="inlineStr">
        <is>
          <t>Alexander</t>
        </is>
      </c>
      <c r="L118" s="22" t="inlineStr">
        <is>
          <t>Marder</t>
        </is>
      </c>
      <c r="M118" s="22" t="inlineStr">
        <is>
          <t>amarder@jhu.edu</t>
        </is>
      </c>
      <c r="N118" s="22" t="inlineStr"/>
      <c r="O118" s="22" t="inlineStr">
        <is>
          <t>Alexander Marder</t>
        </is>
      </c>
      <c r="P118" s="22" t="inlineStr">
        <is>
          <t>Sheikh Ghafoor</t>
        </is>
      </c>
      <c r="Q118" s="22" t="inlineStr">
        <is>
          <t>sghafoor@nsf.gov</t>
        </is>
      </c>
      <c r="R118" s="22" t="inlineStr">
        <is>
          <t>THE JOHNS HOPKINS UNIVERSITY</t>
        </is>
      </c>
      <c r="S118" s="22" t="inlineStr">
        <is>
          <t>BALTIMORE</t>
        </is>
      </c>
      <c r="T118" s="22" t="inlineStr">
        <is>
          <t>MD</t>
        </is>
      </c>
      <c r="U118" s="22" t="inlineStr">
        <is>
          <t>212182608</t>
        </is>
      </c>
      <c r="V118" s="22" t="inlineStr">
        <is>
          <t>FTMTDMBR29C7</t>
        </is>
      </c>
      <c r="W118" s="22" t="inlineStr">
        <is>
          <t>BALTIMORE</t>
        </is>
      </c>
      <c r="X118" s="22" t="inlineStr">
        <is>
          <t>MD</t>
        </is>
      </c>
      <c r="Y118" s="22" t="inlineStr">
        <is>
          <t>CSE</t>
        </is>
      </c>
      <c r="Z118" s="22" t="inlineStr">
        <is>
          <t>OAC</t>
        </is>
      </c>
      <c r="AA118" s="23" t="inlineStr">
        <is>
          <t>CyberTraining - Training-based</t>
        </is>
      </c>
      <c r="AB118" s="22" t="inlineStr">
        <is>
          <t>CI Training and Professionals</t>
        </is>
      </c>
      <c r="AC118" s="22" t="inlineStr">
        <is>
          <t>044Y00</t>
        </is>
      </c>
      <c r="AD118" s="22" t="inlineStr">
        <is>
          <t>122Z</t>
        </is>
      </c>
      <c r="AE118" s="22" t="inlineStr">
        <is>
          <t>47.070</t>
        </is>
      </c>
      <c r="AF118" s="22" t="inlineStr">
        <is>
          <t>1</t>
        </is>
      </c>
      <c r="AG118" s="22" t="inlineStr">
        <is>
          <t>06/25/2025</t>
        </is>
      </c>
      <c r="AH118" s="22" t="inlineStr">
        <is>
          <t>06/25/2025</t>
        </is>
      </c>
      <c r="AI118" s="23" t="inlineStr">
        <is>
          <t>In today’s rapidly evolving information technology landscape, network security is a critical pillar of cybersecurity. Preparing the next generation of IT research professionals to secure digital infrastructure requires theoretical knowledge, but also demands hands-on experience with real-world threats and data. This project bridges this gap through integration of advanced data science techniques and practical skills in cyberinfrastructure (CI) within the classroom. This project establishes the Cybersecurity Community Hub (C2Hub)—a platform for developing, delivering, and disseminating CI-enabled cybersecurity education and training resources. 
The project incorporates modular, open-source course materials for both undergraduate and graduate levels, including software tools, real-world datasets, and auto-graded assignments in the C2Hub platform. These modules are designed for seamless execution on NSF-funded CI platforms such as the National Research Platform and Expanse, making it easier for educators to incorporate hands-on CI use into their curricula. To support adoption and community building, the project offers educator workshops to provide training, gather feedback, and cultivate a network of educators sharing resources and best practices. The course materials and community practices developed through this project can serve as a national model for integrating CI into cybersecurity and STEM education. C2Hub promotes a data-driven approach to teaching and learning and expands the nation’s cybersecurity research workforce by empowering students from different institutional backgrounds to engage in cutting-edge data science and cybersecurity training.
This award reflects NSF's statutory mission and has been deemed worthy of support through evaluation using the Foundation's intellectual merit and broader impacts review criteria.</t>
        </is>
      </c>
      <c r="AJ118" s="23" t="inlineStr"/>
    </row>
    <row r="119" ht="18" customHeight="1">
      <c r="A119" s="25" t="inlineStr">
        <is>
          <t>2549672</t>
        </is>
      </c>
      <c r="B119" s="26" t="inlineStr">
        <is>
          <t>CAREER: Establishing the Drosophila proventriculus as a model symbiosis organ</t>
        </is>
      </c>
      <c r="C119" s="25" t="inlineStr">
        <is>
          <t>Continuing Grant</t>
        </is>
      </c>
      <c r="D119" s="25" t="inlineStr">
        <is>
          <t>true</t>
        </is>
      </c>
      <c r="E119" s="25" t="inlineStr">
        <is>
          <t>09/08/2025</t>
        </is>
      </c>
      <c r="F119" s="25" t="inlineStr">
        <is>
          <t>07/01/2025</t>
        </is>
      </c>
      <c r="G119" s="25" t="inlineStr">
        <is>
          <t>06/30/2027</t>
        </is>
      </c>
      <c r="H119" s="25" t="inlineStr">
        <is>
          <t>2025</t>
        </is>
      </c>
      <c r="I119" s="27" t="n">
        <v>325234</v>
      </c>
      <c r="J119" s="27" t="n">
        <v>598137</v>
      </c>
      <c r="K119" s="25" t="inlineStr">
        <is>
          <t>William</t>
        </is>
      </c>
      <c r="L119" s="25" t="inlineStr">
        <is>
          <t>Ludington</t>
        </is>
      </c>
      <c r="M119" s="25" t="inlineStr">
        <is>
          <t>will.ludington@gmail.com</t>
        </is>
      </c>
      <c r="N119" s="25" t="inlineStr"/>
      <c r="O119" s="25" t="inlineStr">
        <is>
          <t>William B Ludington</t>
        </is>
      </c>
      <c r="P119" s="25" t="inlineStr">
        <is>
          <t>Mamta Rawat</t>
        </is>
      </c>
      <c r="Q119" s="25" t="inlineStr">
        <is>
          <t>mrawat@nsf.gov</t>
        </is>
      </c>
      <c r="R119" s="25" t="inlineStr">
        <is>
          <t>THE JOHNS HOPKINS UNIVERSITY</t>
        </is>
      </c>
      <c r="S119" s="25" t="inlineStr">
        <is>
          <t>BALTIMORE</t>
        </is>
      </c>
      <c r="T119" s="25" t="inlineStr">
        <is>
          <t>MD</t>
        </is>
      </c>
      <c r="U119" s="25" t="inlineStr">
        <is>
          <t>212182608</t>
        </is>
      </c>
      <c r="V119" s="25" t="inlineStr">
        <is>
          <t>FTMTDMBR29C7</t>
        </is>
      </c>
      <c r="W119" s="25" t="inlineStr">
        <is>
          <t>BALTIMORE</t>
        </is>
      </c>
      <c r="X119" s="25" t="inlineStr">
        <is>
          <t>MD</t>
        </is>
      </c>
      <c r="Y119" s="25" t="inlineStr">
        <is>
          <t>BIO</t>
        </is>
      </c>
      <c r="Z119" s="25" t="inlineStr">
        <is>
          <t>IOS</t>
        </is>
      </c>
      <c r="AA119" s="26" t="inlineStr">
        <is>
          <t>Symbiosis Infection &amp; Immunity</t>
        </is>
      </c>
      <c r="AB119" s="25" t="inlineStr">
        <is>
          <t>CAREER-Faculty Erly Career Dev, GRADUATE INVOLVEMENT, COVID-Disproportionate Impcts Inst-Indiv</t>
        </is>
      </c>
      <c r="AC119" s="25" t="inlineStr">
        <is>
          <t>765600</t>
        </is>
      </c>
      <c r="AD119" s="25" t="inlineStr">
        <is>
          <t>1045, 9179, 102Z</t>
        </is>
      </c>
      <c r="AE119" s="25" t="inlineStr">
        <is>
          <t>47.074</t>
        </is>
      </c>
      <c r="AF119" s="25" t="inlineStr">
        <is>
          <t>1</t>
        </is>
      </c>
      <c r="AG119" s="25" t="inlineStr">
        <is>
          <t>09/08/2025</t>
        </is>
      </c>
      <c r="AH119" s="25" t="inlineStr">
        <is>
          <t>09/08/2025</t>
        </is>
      </c>
      <c r="AI119" s="26" t="inlineStr">
        <is>
          <t>This award is funded in whole or in part under the American Rescue Plan Act of 2021 (Public Law 117-2).
Most animals maintain certain types of bacteria in their gut that aid the animal by improving the nutrition of the diet and modulating the immune system. Microbial associations are particularly important in insects, which are critically important to agriculture, ecology, and human health, including pollinators such as bees, pests such as squash bugs and fruit flies, and disease vectors such as mosquitos and ticks. How insects recruit and maintain their preferred bacteria is largely unknown in terms of the specific genes and molecules the host uses to regulate colonization. The proposed research aims to close this knowledge gap by identifying these genes and molecules and how specific host cells regulate them. Due to critical roles of insects in ecology, agriculture, and public health, outcomes of the proposed research could have major impacts by developing uses of symbiotic bacteria to aid and control insects. Furthermore, the high conservation of gene function across mammals means discoveries in insects could apply to other animals, including vertebrates. Broader impacts of this grant also include development and implementation of hands-on and online microbiology curricula in public schools.
Across animals, there is a knowledge gap around the precise developmental genetic mechanisms that construct and maintain the host tissues that house symbiotic organisms as well as whether a host can use certain bacteria to control others. Drosophila has long been a workhorse of animal developmental genetics, with unparalleled resources of publicly available genetic stocks with defined gene perturbations, and the wide genetic conservation across the animal kingdom. The PI’s discovery of symbiotic bacteria that form an adherent, multispecies community in a precise and understudied section of the Drosophila foregut presents a transformative opportunity to apply Drosophila genetics to the study of symbiosis between diverse gut bacteria and the host. This research will define the Drosophila symbiotic organ in terms of the fly genes that support the bacteria. Host genetic pathways, in secretion and immunity will be evaluated by quantitative cell biology, microbiology, and genomics approaches as well as by isotope ratio mass spectrometry, which will be used to measure nutrient exchange between host and bacteria. This will advance the field by providing candidate genes and developmental programs to discover symbiotic niches in other insects and animals, possibly even humans.
This award reflects NSF's statutory mission and has been deemed worthy of support through evaluation using the Foundation's intellectual merit and broader impacts review criteria.</t>
        </is>
      </c>
      <c r="AJ119" s="26" t="inlineStr"/>
    </row>
    <row r="120" ht="18" customHeight="1">
      <c r="A120" s="22" t="inlineStr">
        <is>
          <t>2420368</t>
        </is>
      </c>
      <c r="B120" s="23" t="inlineStr">
        <is>
          <t>Advancing Fire Resilient Design of Timber Buildings Through Computational Modeling</t>
        </is>
      </c>
      <c r="C120" s="22" t="inlineStr">
        <is>
          <t>Standard Grant</t>
        </is>
      </c>
      <c r="D120" s="22" t="inlineStr">
        <is>
          <t>true</t>
        </is>
      </c>
      <c r="E120" s="22" t="inlineStr">
        <is>
          <t>07/07/2025</t>
        </is>
      </c>
      <c r="F120" s="22" t="inlineStr">
        <is>
          <t>07/01/2025</t>
        </is>
      </c>
      <c r="G120" s="22" t="inlineStr">
        <is>
          <t>06/30/2028</t>
        </is>
      </c>
      <c r="H120" s="22" t="inlineStr">
        <is>
          <t>2025</t>
        </is>
      </c>
      <c r="I120" s="24" t="n">
        <v>379885</v>
      </c>
      <c r="J120" s="24" t="n">
        <v>379885</v>
      </c>
      <c r="K120" s="22" t="inlineStr">
        <is>
          <t>Thomas</t>
        </is>
      </c>
      <c r="L120" s="22" t="inlineStr">
        <is>
          <t>Gernay</t>
        </is>
      </c>
      <c r="M120" s="22" t="inlineStr">
        <is>
          <t>tgernay@jhu.edu</t>
        </is>
      </c>
      <c r="N120" s="22" t="inlineStr">
        <is>
          <t>James K Guest jkguest@jhu.edu</t>
        </is>
      </c>
      <c r="O120" s="22" t="inlineStr">
        <is>
          <t>Thomas Gernay</t>
        </is>
      </c>
      <c r="P120" s="22" t="inlineStr">
        <is>
          <t>Lesley Sneed</t>
        </is>
      </c>
      <c r="Q120" s="22" t="inlineStr">
        <is>
          <t>lsneed@nsf.gov</t>
        </is>
      </c>
      <c r="R120" s="22" t="inlineStr">
        <is>
          <t>THE JOHNS HOPKINS UNIVERSITY</t>
        </is>
      </c>
      <c r="S120" s="22" t="inlineStr">
        <is>
          <t>BALTIMORE</t>
        </is>
      </c>
      <c r="T120" s="22" t="inlineStr">
        <is>
          <t>MD</t>
        </is>
      </c>
      <c r="U120" s="22" t="inlineStr">
        <is>
          <t>212182608</t>
        </is>
      </c>
      <c r="V120" s="22" t="inlineStr">
        <is>
          <t>FTMTDMBR29C7</t>
        </is>
      </c>
      <c r="W120" s="22" t="inlineStr">
        <is>
          <t>BALTIMORE</t>
        </is>
      </c>
      <c r="X120" s="22" t="inlineStr">
        <is>
          <t>MD</t>
        </is>
      </c>
      <c r="Y120" s="22" t="inlineStr">
        <is>
          <t>ENG</t>
        </is>
      </c>
      <c r="Z120" s="22" t="inlineStr">
        <is>
          <t>CMMI</t>
        </is>
      </c>
      <c r="AA120" s="23" t="inlineStr">
        <is>
          <t>ECI-Engineering for Civil Infr</t>
        </is>
      </c>
      <c r="AB120" s="22" t="inlineStr">
        <is>
          <t>CIVIL INFRASTRUCTURE, Fire, HAZARD MIT &amp; STRUCTURAL ENG</t>
        </is>
      </c>
      <c r="AC120" s="22" t="inlineStr">
        <is>
          <t>073Y00</t>
        </is>
      </c>
      <c r="AD120" s="22" t="inlineStr">
        <is>
          <t>036E, 061E, 1637</t>
        </is>
      </c>
      <c r="AE120" s="22" t="inlineStr">
        <is>
          <t>47.041</t>
        </is>
      </c>
      <c r="AF120" s="22" t="inlineStr">
        <is>
          <t>1</t>
        </is>
      </c>
      <c r="AG120" s="22" t="inlineStr">
        <is>
          <t>07/07/2025</t>
        </is>
      </c>
      <c r="AH120" s="22" t="inlineStr">
        <is>
          <t>07/07/2025</t>
        </is>
      </c>
      <c r="AI120" s="23" t="inlineStr">
        <is>
          <t>This award supports research on the fire behavior of timber structures to develop novel engineering methods to design mass timber buildings for fire resilience. Recent innovations in engineered wood products unlock benefits for the built environment, however, knowledge gaps in fire performance can limit adoption or lead to inadequate fire safety in buildings. To date, design has relied on empirical methods based on charring rates that do not capture the complex fire-structure interaction and the potential for collapse during the fire decay phase, highlighted by recent experiments. This project aims to derive novel modeling capabilities to enable the fire-resilient design of mass timber buildings. The research efforts will be integrated with dissemination activities involving professional committees, aimed at informing building codes. Through enabling resource-efficient designs with novel timber structures that address fire safety challenges, this award will contribute to NSF’s mission to advance the national prosperity, safety, and welfare.
The goal of the research is to develop a computational framework for understanding and modeling the response of timber structures in fire and use this framework to derive design methods for fire-resilient timber buildings. The research methodology will combine computational modeling, machine learning, and topology optimization. By analyzing recent timber fire test data with Bayesian inference techniques and surrogate modeling, the project looks to derive accurate material models and properties for timber in realistic fire scenarios. The project will also seek to enhance current fire models to incorporate the contribution from bio-sourced structural materials in the fire intensities used for design. A finite element computational framework that captures the fire-thermal-structural response, validated against full-scale experiments, will then be used to construct fragility functions for timber frame structures. Additionally, the project will explore innovative design approaches to enhance fire resilience through topology optimization applied at different scales, including optimization of the cross-section and optimization of the column layout through a stiffness projection method. This effort looks to advance understanding of the effect of key design parameters on the vulnerability to fire-induced collapse and result in methodologies to uncover resilient designs optimized at both the member and system levels. The research has the potential to advance modeling capabilities and transform fire design for timber structures from an empirical to a performance-based design approach, addressing the complexity of the structural fire response and enhancing safety and resilience.
This award reflects NSF's statutory mission and has been deemed worthy of support through evaluation using the Foundation's intellectual merit and broader impacts review criteria.</t>
        </is>
      </c>
      <c r="AJ120" s="23" t="inlineStr"/>
    </row>
    <row r="121" ht="18" customHeight="1">
      <c r="A121" s="25" t="inlineStr">
        <is>
          <t>2444353</t>
        </is>
      </c>
      <c r="B121" s="26" t="inlineStr">
        <is>
          <t>Statistical inference in the auditory system</t>
        </is>
      </c>
      <c r="C121" s="25" t="inlineStr">
        <is>
          <t>Standard Grant</t>
        </is>
      </c>
      <c r="D121" s="25" t="inlineStr">
        <is>
          <t>true</t>
        </is>
      </c>
      <c r="E121" s="25" t="inlineStr">
        <is>
          <t>03/21/2025</t>
        </is>
      </c>
      <c r="F121" s="25" t="inlineStr">
        <is>
          <t>07/01/2025</t>
        </is>
      </c>
      <c r="G121" s="25" t="inlineStr">
        <is>
          <t>06/30/2028</t>
        </is>
      </c>
      <c r="H121" s="25" t="inlineStr">
        <is>
          <t>2025</t>
        </is>
      </c>
      <c r="I121" s="27" t="n">
        <v>450028</v>
      </c>
      <c r="J121" s="27" t="n">
        <v>450028</v>
      </c>
      <c r="K121" s="25" t="inlineStr">
        <is>
          <t>Mounya</t>
        </is>
      </c>
      <c r="L121" s="25" t="inlineStr">
        <is>
          <t>Elhilali</t>
        </is>
      </c>
      <c r="M121" s="25" t="inlineStr">
        <is>
          <t>mounya@jhu.edu</t>
        </is>
      </c>
      <c r="N121" s="25" t="inlineStr"/>
      <c r="O121" s="25" t="inlineStr">
        <is>
          <t>Mounya Elhilali</t>
        </is>
      </c>
      <c r="P121" s="25" t="inlineStr">
        <is>
          <t>Betty Tuller</t>
        </is>
      </c>
      <c r="Q121" s="25" t="inlineStr">
        <is>
          <t>btuller@nsf.gov</t>
        </is>
      </c>
      <c r="R121" s="25" t="inlineStr">
        <is>
          <t>THE JOHNS HOPKINS UNIVERSITY</t>
        </is>
      </c>
      <c r="S121" s="25" t="inlineStr">
        <is>
          <t>BALTIMORE</t>
        </is>
      </c>
      <c r="T121" s="25" t="inlineStr">
        <is>
          <t>MD</t>
        </is>
      </c>
      <c r="U121" s="25" t="inlineStr">
        <is>
          <t>212182608</t>
        </is>
      </c>
      <c r="V121" s="25" t="inlineStr">
        <is>
          <t>FTMTDMBR29C7</t>
        </is>
      </c>
      <c r="W121" s="25" t="inlineStr">
        <is>
          <t>BALTIMORE</t>
        </is>
      </c>
      <c r="X121" s="25" t="inlineStr">
        <is>
          <t>MD</t>
        </is>
      </c>
      <c r="Y121" s="25" t="inlineStr">
        <is>
          <t>SBE</t>
        </is>
      </c>
      <c r="Z121" s="25" t="inlineStr">
        <is>
          <t>BCS</t>
        </is>
      </c>
      <c r="AA121" s="26" t="inlineStr">
        <is>
          <t>Perception, Action &amp; Cognition</t>
        </is>
      </c>
      <c r="AB121" s="25" t="inlineStr">
        <is>
          <t>Perception, Action and Cognition</t>
        </is>
      </c>
      <c r="AC121" s="25" t="inlineStr">
        <is>
          <t>725200</t>
        </is>
      </c>
      <c r="AD121" s="25" t="inlineStr">
        <is>
          <t>7252</t>
        </is>
      </c>
      <c r="AE121" s="25" t="inlineStr">
        <is>
          <t>47.075</t>
        </is>
      </c>
      <c r="AF121" s="25" t="inlineStr">
        <is>
          <t>1</t>
        </is>
      </c>
      <c r="AG121" s="25" t="inlineStr">
        <is>
          <t>03/21/2025</t>
        </is>
      </c>
      <c r="AH121" s="25" t="inlineStr">
        <is>
          <t>03/21/2025</t>
        </is>
      </c>
      <c r="AI121" s="26" t="inlineStr">
        <is>
          <t>Every day, our brains seamlessly pick out meaningful information from the cacophony of sounds that enters our ears. This ability to make sense of our acoustic surroundings relies on the brain being able to recognize patterns and predict what might come next. However, in real-world environments, sounds are rarely perfectly predictable, raising the question: how does the brain track information when patterns are uncertain or incomplete? This research seeks to understand how the brain extracts and organizes auditory information from complex, dynamic soundscapes. The work has broad implications for real-world applications, from improved audio technologies and assistive listening devices to shedding light on auditory processing challenges in specific clinical populations. 
The project explores how the brain infers statistical structure from sound sequences, focusing on the way it builds an internal model of the world to interpret and predict auditory experiences. While past research has shown that the brain can recognize predictable patterns in sound, real-world listening often involves incomplete or stochastic sounds, making it unclear how this predictive process functions in natural environments. The investigator uses a combination of computational modeling, behavioral testing, and neurophysiological (EEG) experiments to study how the brain tracks complex statistical relationships and deeper temporal and multi-feature dependencies in sound sequences to guide perception. Individual differences, such as working memory capacity and perceptual sensitivity, are also evaluated for their effect on statistical tracking abilities. The project is structured around two key aims: (1) developing a theoretical framework for statistical inference in auditory processing, supported by behavioral and EEG experiments on structured sound sequences, and (2) examining how the brain integrates statistical information across multiple perceptual features. By building a comprehensive model of predictive coding in the auditory system, this research will contribute to a deeper understanding of how the brain processes real-world acoustic scenes and inform studies on auditory object perception, sensory integration, and cognitive differences in auditory inference.
This award reflects NSF's statutory mission and has been deemed worthy of support through evaluation using the Foundation's intellectual merit and broader impacts review criteria.</t>
        </is>
      </c>
      <c r="AJ121" s="26" t="inlineStr"/>
    </row>
    <row r="122" ht="18" customHeight="1">
      <c r="A122" s="22" t="inlineStr">
        <is>
          <t>2506068</t>
        </is>
      </c>
      <c r="B122" s="23" t="inlineStr">
        <is>
          <t>CAS-MNP: Impact of Disinfectants on Release and Transformation of Microplastics and Additives from Drinking Water Pipes</t>
        </is>
      </c>
      <c r="C122" s="22" t="inlineStr">
        <is>
          <t>Standard Grant</t>
        </is>
      </c>
      <c r="D122" s="22" t="inlineStr">
        <is>
          <t>true</t>
        </is>
      </c>
      <c r="E122" s="22" t="inlineStr">
        <is>
          <t>06/04/2025</t>
        </is>
      </c>
      <c r="F122" s="22" t="inlineStr">
        <is>
          <t>06/15/2025</t>
        </is>
      </c>
      <c r="G122" s="22" t="inlineStr">
        <is>
          <t>05/31/2028</t>
        </is>
      </c>
      <c r="H122" s="22" t="inlineStr">
        <is>
          <t>2025</t>
        </is>
      </c>
      <c r="I122" s="24" t="n">
        <v>620000</v>
      </c>
      <c r="J122" s="24" t="n">
        <v>620000</v>
      </c>
      <c r="K122" s="22" t="inlineStr">
        <is>
          <t>Howard</t>
        </is>
      </c>
      <c r="L122" s="22" t="inlineStr">
        <is>
          <t>Fairbrother</t>
        </is>
      </c>
      <c r="M122" s="22" t="inlineStr">
        <is>
          <t>howardf@jhu.edu</t>
        </is>
      </c>
      <c r="N122" s="22" t="inlineStr">
        <is>
          <t>James F Ranville jranvill@mines.edu, Carsten Prasse cprasse1@jhu.edu</t>
        </is>
      </c>
      <c r="O122" s="22" t="inlineStr">
        <is>
          <t>Howard Fairbrother</t>
        </is>
      </c>
      <c r="P122" s="22" t="inlineStr">
        <is>
          <t>Samy El-Shall</t>
        </is>
      </c>
      <c r="Q122" s="22" t="inlineStr">
        <is>
          <t>selshall@nsf.gov</t>
        </is>
      </c>
      <c r="R122" s="22" t="inlineStr">
        <is>
          <t>THE JOHNS HOPKINS UNIVERSITY</t>
        </is>
      </c>
      <c r="S122" s="22" t="inlineStr">
        <is>
          <t>BALTIMORE</t>
        </is>
      </c>
      <c r="T122" s="22" t="inlineStr">
        <is>
          <t>MD</t>
        </is>
      </c>
      <c r="U122" s="22" t="inlineStr">
        <is>
          <t>212182608</t>
        </is>
      </c>
      <c r="V122" s="22" t="inlineStr">
        <is>
          <t>FTMTDMBR29C7</t>
        </is>
      </c>
      <c r="W122" s="22" t="inlineStr">
        <is>
          <t>BALTIMORE</t>
        </is>
      </c>
      <c r="X122" s="22" t="inlineStr">
        <is>
          <t>MD</t>
        </is>
      </c>
      <c r="Y122" s="22" t="inlineStr">
        <is>
          <t>MPS</t>
        </is>
      </c>
      <c r="Z122" s="22" t="inlineStr">
        <is>
          <t>CHE</t>
        </is>
      </c>
      <c r="AA122" s="23" t="inlineStr">
        <is>
          <t>Environmental Chemical Science</t>
        </is>
      </c>
      <c r="AB122" s="22" t="inlineStr">
        <is>
          <t>CAS-Critical Aspects of Sustainability</t>
        </is>
      </c>
      <c r="AC122" s="22" t="inlineStr">
        <is>
          <t>688200</t>
        </is>
      </c>
      <c r="AD122" s="22" t="inlineStr">
        <is>
          <t>090Z</t>
        </is>
      </c>
      <c r="AE122" s="22" t="inlineStr">
        <is>
          <t>47.049</t>
        </is>
      </c>
      <c r="AF122" s="22" t="inlineStr">
        <is>
          <t>1</t>
        </is>
      </c>
      <c r="AG122" s="22" t="inlineStr">
        <is>
          <t>06/04/2025</t>
        </is>
      </c>
      <c r="AH122" s="22" t="inlineStr">
        <is>
          <t>06/04/2025</t>
        </is>
      </c>
      <c r="AI122" s="23" t="inlineStr">
        <is>
          <t>With support from the Environmental Chemical Sciences program in the Division of Chemistry, Professors Howard Fairbrother and Carsten Prasse at Johns Hopkins University, Professor James Ranville at the Colorado School of Mines, and their students will investigate the effects of free chlorine, a common disinfectant used in drinking water distribution systems, on plastic pipes. Plastic pipes are replacing traditional metal pipes in distribution systems due to the well-documented health and safety issues caused by leached toxic metals during aging. However, the safety of these replacement plastic pipes is unclear. One unintended consequence of using plastic pipes is their susceptibility to degradation, a process that has been shown to result in the formation of microplastics (MPs). Additionally, organic chemicals, frequently incorporated as additives into pipes to enhance their properties, can leach from plastic pipes during the degradation caused by free chlorine. Moreover, these organic chemicals can react with free chlorine once they have been leached to produce new chemicals that can be more toxic than the additives themselves. The potential health risks associated with MPs and chemical additives in drinking water have raised increasing concerns. Through this study, we intend to holistically evaluate the safety of plastic pipes in the presence of chlorinated drinking water. Students involved in this research will acquire skills in materials chemistry, environmental chemistry, and environmental engineering. Students at the K-12 and university level will participate in educational activities, such as hands-on experiences with model drinking water and pipe materials to demonstrate the breakdown over time. 
This project aims to develop a safety profile of polyvinyl chloride (PVC) and polyethylene (PE) under the oxidizing conditions presented by free chlorine in drinking water. This will be accomplished by synthesizing model pipe materials containing a metal tag and exposing them to model drinking water; any microplastics formed will be quantified by measuring the embedded metal tag via single particle inductively coupled mass spectrometry (spICP-MS). Additives leached from PVC and PE synthesized with known concentrations of additives will be probed via liquid chromatography- and gas chromatography-high resolution mass spectrometry, including the identification of transformation products formed from the reaction of leached chemical additives with free chlorine. These results will help to inform the health and safety impacts of plastic pipes in drinking water distribution systems.
This award reflects NSF's statutory mission and has been deemed worthy of support through evaluation using the Foundation's intellectual merit and broader impacts review criteria.</t>
        </is>
      </c>
      <c r="AJ122" s="23" t="inlineStr"/>
    </row>
    <row r="123" ht="18" customHeight="1">
      <c r="A123" s="25" t="inlineStr">
        <is>
          <t>2449853</t>
        </is>
      </c>
      <c r="B123" s="26" t="inlineStr">
        <is>
          <t>NSF-SNSF: Membranes from Interrupted Zeolite Frameworks</t>
        </is>
      </c>
      <c r="C123" s="25" t="inlineStr">
        <is>
          <t>Standard Grant</t>
        </is>
      </c>
      <c r="D123" s="25" t="inlineStr">
        <is>
          <t>true</t>
        </is>
      </c>
      <c r="E123" s="25" t="inlineStr">
        <is>
          <t>06/11/2025</t>
        </is>
      </c>
      <c r="F123" s="25" t="inlineStr">
        <is>
          <t>06/01/2025</t>
        </is>
      </c>
      <c r="G123" s="25" t="inlineStr">
        <is>
          <t>05/31/2029</t>
        </is>
      </c>
      <c r="H123" s="25" t="inlineStr">
        <is>
          <t>2025</t>
        </is>
      </c>
      <c r="I123" s="27" t="n">
        <v>425000</v>
      </c>
      <c r="J123" s="27" t="n">
        <v>425000</v>
      </c>
      <c r="K123" s="25" t="inlineStr">
        <is>
          <t>Michael</t>
        </is>
      </c>
      <c r="L123" s="25" t="inlineStr">
        <is>
          <t>Tsapatsis</t>
        </is>
      </c>
      <c r="M123" s="25" t="inlineStr">
        <is>
          <t>tsapatsis@jhu.edu</t>
        </is>
      </c>
      <c r="N123" s="25" t="inlineStr"/>
      <c r="O123" s="25" t="inlineStr">
        <is>
          <t>Michael Tsapatsis</t>
        </is>
      </c>
      <c r="P123" s="25" t="inlineStr">
        <is>
          <t>Catherine Walker</t>
        </is>
      </c>
      <c r="Q123" s="25" t="inlineStr">
        <is>
          <t>cawalker@nsf.gov</t>
        </is>
      </c>
      <c r="R123" s="25" t="inlineStr">
        <is>
          <t>THE JOHNS HOPKINS UNIVERSITY</t>
        </is>
      </c>
      <c r="S123" s="25" t="inlineStr">
        <is>
          <t>BALTIMORE</t>
        </is>
      </c>
      <c r="T123" s="25" t="inlineStr">
        <is>
          <t>MD</t>
        </is>
      </c>
      <c r="U123" s="25" t="inlineStr">
        <is>
          <t>212182608</t>
        </is>
      </c>
      <c r="V123" s="25" t="inlineStr">
        <is>
          <t>FTMTDMBR29C7</t>
        </is>
      </c>
      <c r="W123" s="25" t="inlineStr">
        <is>
          <t>BALTIMORE</t>
        </is>
      </c>
      <c r="X123" s="25" t="inlineStr">
        <is>
          <t>MD</t>
        </is>
      </c>
      <c r="Y123" s="25" t="inlineStr">
        <is>
          <t>ENG</t>
        </is>
      </c>
      <c r="Z123" s="25" t="inlineStr">
        <is>
          <t>CBET</t>
        </is>
      </c>
      <c r="AA123" s="26" t="inlineStr">
        <is>
          <t>Interfacial Engineering Progra</t>
        </is>
      </c>
      <c r="AB123" s="25" t="inlineStr">
        <is>
          <t>International Partnerships, SWITZERLAND, U.S. NSF-Swiss Resrch Corp</t>
        </is>
      </c>
      <c r="AC123" s="25" t="inlineStr">
        <is>
          <t>141700</t>
        </is>
      </c>
      <c r="AD123" s="25" t="inlineStr">
        <is>
          <t>022Z, 5950, 129Z</t>
        </is>
      </c>
      <c r="AE123" s="25" t="inlineStr">
        <is>
          <t>47.041</t>
        </is>
      </c>
      <c r="AF123" s="25" t="inlineStr">
        <is>
          <t>1</t>
        </is>
      </c>
      <c r="AG123" s="25" t="inlineStr">
        <is>
          <t>06/11/2025</t>
        </is>
      </c>
      <c r="AH123" s="25" t="inlineStr">
        <is>
          <t>06/11/2025</t>
        </is>
      </c>
      <c r="AI123" s="26" t="inlineStr">
        <is>
          <t>Separating chemical mixtures into their individual components is often the most energy-intensive step in chemical manufacturing. More efficient separation and purification methods could reduce energy demands and costs of chemical production. Highly selective membranes can separate complex gas mixtures at low cost and high energy efficiency.  Zeolites are crystalline materials with arrays of pores that separate gas molecules based on their size, shape, and interactions with the pore walls. Zeolites are exceptionally well-suited for use as industrial gas separation membranes due to their excellent selectivity and chemical and thermal stability. Zeolite membranes have been commercialized for a few applications, but synthesizing thin zeolite films cost-effectively remains challenging, which limits their practical use. This project will develop a new type of zeolite membrane consisting of very thin sheets of a zeolite with pores small enough to perform difficult gas separations such as separating ammonia from hydrogen and nitrogen. The project is an international collaboration between Johns Hopkins University, USA, and Ecole Polytechnique Federal de Lausanne, Switzerland. It will generate new fundamental knowledge necessary for innovation in the multi-billion-dollar global molecular separations market, increasing U.S. and Swiss economic competitiveness in critical industries. 
This project will investigate a scalable approach for synthesizing selective zeolite membranes on porous supports. Specifically, zeolite nanosheets – high-aspect-ratio two-dimensional (2D) zeolite crystals possessing pores with eight-member-ring (8-MR) apertures – will be used as building blocks for preparing gas-selective membranes. Exfoliated zeolite nanosheets with the 8-MR pores orthogonal to the lateral dimension of the layer have not yet been synthesized. The project aims are to (i) synthesize highly crystalline, intergrowth-free, and high-aspect ratio 8-MR layers, (ii) exfoliate the 8-MR layers, (iii) deposit thin films on hollow fiber supports, and (iv) prepare graphene-supported nanometer-thick films. The study includes the development of novel zeolite nanosheet synthesis approaches combined with state-of-the-art thin film assembly, microstructural characterization, and membrane performance testing. This work will produce processing-structure-function relations for nanoporous thin film membranes. Fundamental knowledge will be gained about nanoporous materials synthesis, multiscale assembly at interfaces, and gas transport in complex microstructures.
This collaborative U.S.-Swiss project is supported by the U.S. National Science Foundation (NSF) and the Swiss National Science Foundation (SNSF), where NSF funds the U.S. investigator and SNSF funds the partners in Switzerland.
This award reflects NSF's statutory mission and has been deemed worthy of support through evaluation using the Foundation's intellectual merit and broader impacts review criteria.</t>
        </is>
      </c>
      <c r="AJ123" s="26" t="inlineStr"/>
    </row>
    <row r="124" ht="18" customHeight="1">
      <c r="A124" s="22" t="inlineStr">
        <is>
          <t>2431976</t>
        </is>
      </c>
      <c r="B124" s="23" t="inlineStr">
        <is>
          <t>PFI-TT: Development of a Catheter Monitoring System for Reducing Peritoneal Dialysis Infections</t>
        </is>
      </c>
      <c r="C124" s="22" t="inlineStr">
        <is>
          <t>Standard Grant</t>
        </is>
      </c>
      <c r="D124" s="22" t="inlineStr">
        <is>
          <t>true</t>
        </is>
      </c>
      <c r="E124" s="22" t="inlineStr">
        <is>
          <t>04/29/2025</t>
        </is>
      </c>
      <c r="F124" s="22" t="inlineStr">
        <is>
          <t>05/15/2025</t>
        </is>
      </c>
      <c r="G124" s="22" t="inlineStr">
        <is>
          <t>04/30/2027</t>
        </is>
      </c>
      <c r="H124" s="22" t="inlineStr">
        <is>
          <t>2025</t>
        </is>
      </c>
      <c r="I124" s="24" t="n">
        <v>550000</v>
      </c>
      <c r="J124" s="24" t="n">
        <v>550000</v>
      </c>
      <c r="K124" s="22" t="inlineStr">
        <is>
          <t>Nicholas</t>
        </is>
      </c>
      <c r="L124" s="22" t="inlineStr">
        <is>
          <t>Durr</t>
        </is>
      </c>
      <c r="M124" s="22" t="inlineStr">
        <is>
          <t>ndurr@jhu.edu</t>
        </is>
      </c>
      <c r="N124" s="22" t="inlineStr">
        <is>
          <t>Stuart C Ray sray@jhmi.edu, Bernard G Jaar bjaar@jhmi.edu</t>
        </is>
      </c>
      <c r="O124" s="22" t="inlineStr">
        <is>
          <t>Nicholas J Durr</t>
        </is>
      </c>
      <c r="P124" s="22" t="inlineStr">
        <is>
          <t>Mara E. Schindelholz</t>
        </is>
      </c>
      <c r="Q124" s="22" t="inlineStr">
        <is>
          <t>marschin@nsf.gov</t>
        </is>
      </c>
      <c r="R124" s="22" t="inlineStr">
        <is>
          <t>THE JOHNS HOPKINS UNIVERSITY</t>
        </is>
      </c>
      <c r="S124" s="22" t="inlineStr">
        <is>
          <t>BALTIMORE</t>
        </is>
      </c>
      <c r="T124" s="22" t="inlineStr">
        <is>
          <t>MD</t>
        </is>
      </c>
      <c r="U124" s="22" t="inlineStr">
        <is>
          <t>212182608</t>
        </is>
      </c>
      <c r="V124" s="22" t="inlineStr">
        <is>
          <t>FTMTDMBR29C7</t>
        </is>
      </c>
      <c r="W124" s="22" t="inlineStr">
        <is>
          <t>BALTIMORE</t>
        </is>
      </c>
      <c r="X124" s="22" t="inlineStr">
        <is>
          <t>MD</t>
        </is>
      </c>
      <c r="Y124" s="22" t="inlineStr">
        <is>
          <t>TIP</t>
        </is>
      </c>
      <c r="Z124" s="22" t="inlineStr">
        <is>
          <t>TI</t>
        </is>
      </c>
      <c r="AA124" s="23" t="inlineStr">
        <is>
          <t>Special Projects</t>
        </is>
      </c>
      <c r="AB124" s="22" t="inlineStr">
        <is>
          <t>BIOMEDICAL ENG AND DIAGNOSTICS, BIOMEDICAL ENGINEERING</t>
        </is>
      </c>
      <c r="AC124" s="22" t="inlineStr">
        <is>
          <t>226Y00</t>
        </is>
      </c>
      <c r="AD124" s="22" t="inlineStr">
        <is>
          <t>004E, 5345</t>
        </is>
      </c>
      <c r="AE124" s="22" t="inlineStr">
        <is>
          <t>47.084</t>
        </is>
      </c>
      <c r="AF124" s="22" t="inlineStr">
        <is>
          <t>1</t>
        </is>
      </c>
      <c r="AG124" s="22" t="inlineStr">
        <is>
          <t>04/29/2025</t>
        </is>
      </c>
      <c r="AH124" s="22" t="inlineStr">
        <is>
          <t>04/29/2025</t>
        </is>
      </c>
      <c r="AI124" s="23" t="inlineStr">
        <is>
          <t>This Partnerships for Innovation - Technology Translation (PFI-TT) project develops of a remote monitoring system to reduce the morbidity and mortality associated with infections among patients undergoing peritoneal dialysis (PD). PD removes excess fluid and toxins while correcting electrolyte imbalances in people with kidney failure. This project will develop a medical device with the potential to increase PD treatment access for affected patients in rural areas. This technology will enable high-frequency measurement of cellular biomarkers, providing a novel platform for advancing scientific understanding of infection evolution, immune response, and infection treatment efficacy. Ultimately, the development and commercialization of this technology may make at-home PD accessible to patients living with end stage renal disease, significantly improving their quality of life.
The project will enable the real-time microscopic analysis of large volumes of unmodified dialysate flowing through a catheter, reducing the time to infection diagnosis. Completion of the research objectives will result in a system capable of real-time, continuous, and quantitative monitoring of numerous biomarkers relevant to PD-associated infections. To develop this technology, the team will: (1) use simulation models to optimize the optical and flow chamber design parameters for high-resolution and high-throughput characterization of flowing dialysate; (2) construct a benchtop prototype system and characterize the performance using fresh dialysate titrated with relevant biomarkers; and (3) prepare a prototype, analysis algorithm, and protocol for testing discarded dialysate samples. A commercial medical device based on the technology would enable high-frequency at-home screening for dialysate infections, substantially reducing the time to detection and diagnostic confirmation of infection.
This award reflects NSF's statutory mission and has been deemed worthy of support through evaluation using the Foundation's intellectual merit and broader impacts review criteria.</t>
        </is>
      </c>
      <c r="AJ124" s="23" t="inlineStr"/>
    </row>
    <row r="125" ht="18" customHeight="1">
      <c r="A125" s="25" t="inlineStr">
        <is>
          <t>2428276</t>
        </is>
      </c>
      <c r="B125" s="26" t="inlineStr">
        <is>
          <t>FMSG: Eco: Solvent-Free Processing of Metal-Imidazolate EUV Photoresists for Semiconductor Manufacturing Guided by Machine Learning</t>
        </is>
      </c>
      <c r="C125" s="25" t="inlineStr">
        <is>
          <t>Standard Grant</t>
        </is>
      </c>
      <c r="D125" s="25" t="inlineStr">
        <is>
          <t>true</t>
        </is>
      </c>
      <c r="E125" s="25" t="inlineStr">
        <is>
          <t>04/09/2025</t>
        </is>
      </c>
      <c r="F125" s="25" t="inlineStr">
        <is>
          <t>05/01/2025</t>
        </is>
      </c>
      <c r="G125" s="25" t="inlineStr">
        <is>
          <t>04/30/2027</t>
        </is>
      </c>
      <c r="H125" s="25" t="inlineStr">
        <is>
          <t>2025</t>
        </is>
      </c>
      <c r="I125" s="27" t="n">
        <v>500000</v>
      </c>
      <c r="J125" s="27" t="n">
        <v>500000</v>
      </c>
      <c r="K125" s="25" t="inlineStr">
        <is>
          <t>Michael</t>
        </is>
      </c>
      <c r="L125" s="25" t="inlineStr">
        <is>
          <t>Tsapatsis</t>
        </is>
      </c>
      <c r="M125" s="25" t="inlineStr">
        <is>
          <t>tsapatsis@jhu.edu</t>
        </is>
      </c>
      <c r="N125" s="25" t="inlineStr">
        <is>
          <t>Howard Fairbrother howardf@jhu.edu, Yucheng Lan Yucheng.Lan@morgan.edu, Yannis Kevrekidis yannisk@jhu.edu, Jorge A Boscoboinik jorge.boscoboinik@stonybrook.edu</t>
        </is>
      </c>
      <c r="O125" s="25" t="inlineStr">
        <is>
          <t>Michael Tsapatsis</t>
        </is>
      </c>
      <c r="P125" s="25" t="inlineStr">
        <is>
          <t>Ale Lukaszew</t>
        </is>
      </c>
      <c r="Q125" s="25" t="inlineStr">
        <is>
          <t>rlukasze@nsf.gov</t>
        </is>
      </c>
      <c r="R125" s="25" t="inlineStr">
        <is>
          <t>THE JOHNS HOPKINS UNIVERSITY</t>
        </is>
      </c>
      <c r="S125" s="25" t="inlineStr">
        <is>
          <t>BALTIMORE</t>
        </is>
      </c>
      <c r="T125" s="25" t="inlineStr">
        <is>
          <t>MD</t>
        </is>
      </c>
      <c r="U125" s="25" t="inlineStr">
        <is>
          <t>212182608</t>
        </is>
      </c>
      <c r="V125" s="25" t="inlineStr">
        <is>
          <t>FTMTDMBR29C7</t>
        </is>
      </c>
      <c r="W125" s="25" t="inlineStr">
        <is>
          <t>BALTIMORE</t>
        </is>
      </c>
      <c r="X125" s="25" t="inlineStr">
        <is>
          <t>MD</t>
        </is>
      </c>
      <c r="Y125" s="25" t="inlineStr">
        <is>
          <t>ENG</t>
        </is>
      </c>
      <c r="Z125" s="25" t="inlineStr">
        <is>
          <t>ECCS</t>
        </is>
      </c>
      <c r="AA125" s="26" t="inlineStr">
        <is>
          <t>FM-Future Manufacturing</t>
        </is>
      </c>
      <c r="AB125" s="25" t="inlineStr">
        <is>
          <t>Microelectronics and Semiconductors, MATERIALS EDUCATION AND RESEARCH, NANO NON-SOLIC SCI &amp; ENG AWD, Nanoscale Devices and Systems, UNDERGRADUATE EDUCATION</t>
        </is>
      </c>
      <c r="AC125" s="25" t="inlineStr">
        <is>
          <t>142Y00</t>
        </is>
      </c>
      <c r="AD125" s="25" t="inlineStr">
        <is>
          <t>106Z, 1711, 7237, 8615, 9178</t>
        </is>
      </c>
      <c r="AE125" s="25" t="inlineStr">
        <is>
          <t>47.041, 47.049</t>
        </is>
      </c>
      <c r="AF125" s="25" t="inlineStr">
        <is>
          <t>1</t>
        </is>
      </c>
      <c r="AG125" s="25" t="inlineStr">
        <is>
          <t>04/09/2025</t>
        </is>
      </c>
      <c r="AH125" s="25" t="inlineStr">
        <is>
          <t>04/09/2025</t>
        </is>
      </c>
      <c r="AI125" s="26" t="inlineStr">
        <is>
          <t>Microelectronic device manufacturing for the production of computer chips depends on lithographic processes. Lithography enables creation of detailed patterns and features needed for making integrated circuits (ICs). This process uses a thin layer of material, called a resist, which when exposed to light undergoes chemical reactions that persist after subsequent developing processes. To meet the demand for smaller, more powerful chips, extreme ultraviolet (EUV) light is now used in lithography. However, a major challenge with EUV lithography is finding new resists that are highly sensitive to this light and can create clear, precise patterns. One solution being explored is using materials that contain metals, as they can absorb EUV light better than elements used to make polymers, such as carbon and hydrogen. Although these metal-based resists can help create better patterns, they also need to be produced in a way that is environmentally friendly, with less waste and lower impact on the environment. This Future Manufacturing Seed Grant (FMSG) research project aims to develop a new process for creating these metal-based resists that is solvent-free and more ecofriendly. This advancement could lead to a new fabrication method for semiconductor devices, leading to more powerful, efficient, and reliable electronics. It also has the potential to boost the economy, create new jobs, and make US manufacturing more competitive in the global market. The project involves several academic partners, including Johns Hopkins University, Morgan State University, and Stony Brook University, along with an international collaboration with Spain and participation from the US microelectronics industry. It also offers hands-on training in semiconductor technology for students, creating valuable opportunities for local communities and schools.
The foundation of this project is based on the recent discovery by team-members of an entirely solvent-free (dry) process for making EUV resists based on both the dry deposition and dry development of a new class of metal-organic resists: amorphous metal imidazolate films. This is the first fully documented non-plasma-based all-dry process capable of producing high fidelity patterns from metal-containing resists in the open literature. Consequently, it has the potential to meet the technological demands of ICs while simultaneously reducing the environmental impact of EUV lithography through waste reduction. The eco-friendly manufacturing process is critically dependent upon a dry development step that occurs by chemically selective etching of amorphous metal imidazolate films, while amorphous metal imidazolate resists exposed to electron irradiation are inert to dry development, forming the basis of this patterning technology. Crucially, this all-dry process avoids the unwanted and indiscriminate physical sputtering effects associated with traditional equipment intensive plasma-based processes (e.g., Reactive Ion Etching). However, the underlying chemical reactions associated with dry development as well as the electron-induced reactions that render irradiated amorphous metal imidazolate films inert to dry development are unclear. This project proposes to address these knowledge gaps by generating fundamental scientific insights at the molecular level. Machine Learning coupled to this new knowledge looks to enable resist performance optimization and establish the potential and environmental impact of this all-dry process towards industrial implementation. Specifically, the project aims to: (i) deposit amorphous metal imidazolate films by molecular layer deposition that are more EUV sensitive; (ii) identify eco-friendly alternatives to current fluorinated dry developers; (iii) develop a fundamental understanding of the manufacturing steps; (iv) obtain resist metrics by means of electron beam and  EUV lithography, assisted by Machine Learning; (iv) perform initial process assessment and Life Cycle Analysis to optimize resist performance metrics while reducing environmental impacts.
This Future Manufacturing award is co-funded by the Division of Materials Research (DMR) in the Directorate for Mathematical and Physical Sciences (MPS) and the Chemical, Bioenginnering, Environmental and Transport (CBET), Civil, Mechanical and Manufacturing Innovation (CMMI) and Electrical, Communications and Cyber Systems (ECCS) Communication Systems (ECCS) divisions in the Engineering directorate (ENG).
This award reflects NSF's statutory mission and has been deemed worthy of support through evaluation using the Foundation's intellectual merit and broader impacts review criteria.</t>
        </is>
      </c>
      <c r="AJ125" s="26" t="inlineStr"/>
    </row>
    <row r="126" ht="18" customHeight="1">
      <c r="A126" s="22" t="inlineStr">
        <is>
          <t>2428276</t>
        </is>
      </c>
      <c r="B126" s="23" t="inlineStr">
        <is>
          <t>FMSG: Eco: Solvent-Free Processing of Metal-Imidazolate EUV Photoresists for Semiconductor Manufacturing Guided by Machine Learning</t>
        </is>
      </c>
      <c r="C126" s="22" t="inlineStr">
        <is>
          <t>Standard Grant</t>
        </is>
      </c>
      <c r="D126" s="22" t="inlineStr">
        <is>
          <t>true</t>
        </is>
      </c>
      <c r="E126" s="22" t="inlineStr">
        <is>
          <t>04/09/2025</t>
        </is>
      </c>
      <c r="F126" s="22" t="inlineStr">
        <is>
          <t>05/01/2025</t>
        </is>
      </c>
      <c r="G126" s="22" t="inlineStr">
        <is>
          <t>04/30/2027</t>
        </is>
      </c>
      <c r="H126" s="22" t="inlineStr">
        <is>
          <t>2025</t>
        </is>
      </c>
      <c r="I126" s="24" t="n">
        <v>500000</v>
      </c>
      <c r="J126" s="24" t="n">
        <v>500000</v>
      </c>
      <c r="K126" s="22" t="inlineStr">
        <is>
          <t>Michael</t>
        </is>
      </c>
      <c r="L126" s="22" t="inlineStr">
        <is>
          <t>Tsapatsis</t>
        </is>
      </c>
      <c r="M126" s="22" t="inlineStr">
        <is>
          <t>tsapatsis@jhu.edu</t>
        </is>
      </c>
      <c r="N126" s="22" t="inlineStr">
        <is>
          <t>Howard Fairbrother howardf@jhu.edu, Yucheng Lan Yucheng.Lan@morgan.edu, Yannis Kevrekidis yannisk@jhu.edu, Jorge A Boscoboinik jorge.boscoboinik@stonybrook.edu</t>
        </is>
      </c>
      <c r="O126" s="22" t="inlineStr">
        <is>
          <t>Michael Tsapatsis</t>
        </is>
      </c>
      <c r="P126" s="22" t="inlineStr">
        <is>
          <t>Ale Lukaszew</t>
        </is>
      </c>
      <c r="Q126" s="22" t="inlineStr">
        <is>
          <t>rlukasze@nsf.gov</t>
        </is>
      </c>
      <c r="R126" s="22" t="inlineStr">
        <is>
          <t>THE JOHNS HOPKINS UNIVERSITY</t>
        </is>
      </c>
      <c r="S126" s="22" t="inlineStr">
        <is>
          <t>BALTIMORE</t>
        </is>
      </c>
      <c r="T126" s="22" t="inlineStr">
        <is>
          <t>MD</t>
        </is>
      </c>
      <c r="U126" s="22" t="inlineStr">
        <is>
          <t>212182608</t>
        </is>
      </c>
      <c r="V126" s="22" t="inlineStr">
        <is>
          <t>FTMTDMBR29C7</t>
        </is>
      </c>
      <c r="W126" s="22" t="inlineStr">
        <is>
          <t>BALTIMORE</t>
        </is>
      </c>
      <c r="X126" s="22" t="inlineStr">
        <is>
          <t>MD</t>
        </is>
      </c>
      <c r="Y126" s="22" t="inlineStr">
        <is>
          <t>ENG</t>
        </is>
      </c>
      <c r="Z126" s="22" t="inlineStr">
        <is>
          <t>ECCS</t>
        </is>
      </c>
      <c r="AA126" s="23" t="inlineStr">
        <is>
          <t>FM-Future Manufacturing</t>
        </is>
      </c>
      <c r="AB126" s="22" t="inlineStr">
        <is>
          <t>Microelectronics and Semiconductors, MATERIALS EDUCATION AND RESEARCH, NANO NON-SOLIC SCI &amp; ENG AWD, Nanoscale Devices and Systems, UNDERGRADUATE EDUCATION</t>
        </is>
      </c>
      <c r="AC126" s="22" t="inlineStr">
        <is>
          <t>142Y00</t>
        </is>
      </c>
      <c r="AD126" s="22" t="inlineStr">
        <is>
          <t>106Z, 1711, 7237, 8615, 9178</t>
        </is>
      </c>
      <c r="AE126" s="22" t="inlineStr">
        <is>
          <t>47.041, 47.049</t>
        </is>
      </c>
      <c r="AF126" s="22" t="inlineStr">
        <is>
          <t>1</t>
        </is>
      </c>
      <c r="AG126" s="22" t="inlineStr">
        <is>
          <t>04/09/2025</t>
        </is>
      </c>
      <c r="AH126" s="22" t="inlineStr">
        <is>
          <t>04/09/2025</t>
        </is>
      </c>
      <c r="AI126" s="23" t="inlineStr">
        <is>
          <t>Microelectronic device manufacturing for the production of computer chips depends on lithographic processes. Lithography enables creation of detailed patterns and features needed for making integrated circuits (ICs). This process uses a thin layer of material, called a resist, which when exposed to light undergoes chemical reactions that persist after subsequent developing processes. To meet the demand for smaller, more powerful chips, extreme ultraviolet (EUV) light is now used in lithography. However, a major challenge with EUV lithography is finding new resists that are highly sensitive to this light and can create clear, precise patterns. One solution being explored is using materials that contain metals, as they can absorb EUV light better than elements used to make polymers, such as carbon and hydrogen. Although these metal-based resists can help create better patterns, they also need to be produced in a way that is environmentally friendly, with less waste and lower impact on the environment. This Future Manufacturing Seed Grant (FMSG) research project aims to develop a new process for creating these metal-based resists that is solvent-free and more ecofriendly. This advancement could lead to a new fabrication method for semiconductor devices, leading to more powerful, efficient, and reliable electronics. It also has the potential to boost the economy, create new jobs, and make US manufacturing more competitive in the global market. The project involves several academic partners, including Johns Hopkins University, Morgan State University, and Stony Brook University, along with an international collaboration with Spain and participation from the US microelectronics industry. It also offers hands-on training in semiconductor technology for students, creating valuable opportunities for local communities and schools.
The foundation of this project is based on the recent discovery by team-members of an entirely solvent-free (dry) process for making EUV resists based on both the dry deposition and dry development of a new class of metal-organic resists: amorphous metal imidazolate films. This is the first fully documented non-plasma-based all-dry process capable of producing high fidelity patterns from metal-containing resists in the open literature. Consequently, it has the potential to meet the technological demands of ICs while simultaneously reducing the environmental impact of EUV lithography through waste reduction. The eco-friendly manufacturing process is critically dependent upon a dry development step that occurs by chemically selective etching of amorphous metal imidazolate films, while amorphous metal imidazolate resists exposed to electron irradiation are inert to dry development, forming the basis of this patterning technology. Crucially, this all-dry process avoids the unwanted and indiscriminate physical sputtering effects associated with traditional equipment intensive plasma-based processes (e.g., Reactive Ion Etching). However, the underlying chemical reactions associated with dry development as well as the electron-induced reactions that render irradiated amorphous metal imidazolate films inert to dry development are unclear. This project proposes to address these knowledge gaps by generating fundamental scientific insights at the molecular level. Machine Learning coupled to this new knowledge looks to enable resist performance optimization and establish the potential and environmental impact of this all-dry process towards industrial implementation. Specifically, the project aims to: (i) deposit amorphous metal imidazolate films by molecular layer deposition that are more EUV sensitive; (ii) identify eco-friendly alternatives to current fluorinated dry developers; (iii) develop a fundamental understanding of the manufacturing steps; (iv) obtain resist metrics by means of electron beam and  EUV lithography, assisted by Machine Learning; (iv) perform initial process assessment and Life Cycle Analysis to optimize resist performance metrics while reducing environmental impacts.
This Future Manufacturing award is co-funded by the Division of Materials Research (DMR) in the Directorate for Mathematical and Physical Sciences (MPS) and the Chemical, Bioenginnering, Environmental and Transport (CBET), Civil, Mechanical and Manufacturing Innovation (CMMI) and Electrical, Communications and Cyber Systems (ECCS) Communication Systems (ECCS) divisions in the Engineering directorate (ENG).
This award reflects NSF's statutory mission and has been deemed worthy of support through evaluation using the Foundation's intellectual merit and broader impacts review criteria.</t>
        </is>
      </c>
      <c r="AJ126" s="23" t="inlineStr"/>
    </row>
    <row r="127" ht="18" customHeight="1">
      <c r="A127" s="25" t="inlineStr">
        <is>
          <t>2420975</t>
        </is>
      </c>
      <c r="B127" s="26" t="inlineStr">
        <is>
          <t>Collaborative Research: AMPS: Optimal Design and Implementation of Capacity Markets under Market Failure Using Bilevel Financial Market Models</t>
        </is>
      </c>
      <c r="C127" s="25" t="inlineStr">
        <is>
          <t>Standard Grant</t>
        </is>
      </c>
      <c r="D127" s="25" t="inlineStr">
        <is>
          <t>true</t>
        </is>
      </c>
      <c r="E127" s="25" t="inlineStr">
        <is>
          <t>04/08/2025</t>
        </is>
      </c>
      <c r="F127" s="25" t="inlineStr">
        <is>
          <t>05/01/2025</t>
        </is>
      </c>
      <c r="G127" s="25" t="inlineStr">
        <is>
          <t>04/30/2028</t>
        </is>
      </c>
      <c r="H127" s="25" t="inlineStr">
        <is>
          <t>2025</t>
        </is>
      </c>
      <c r="I127" s="27" t="n">
        <v>83522</v>
      </c>
      <c r="J127" s="27" t="n">
        <v>83522</v>
      </c>
      <c r="K127" s="25" t="inlineStr">
        <is>
          <t>Benjamin</t>
        </is>
      </c>
      <c r="L127" s="25" t="inlineStr">
        <is>
          <t>Hobbs</t>
        </is>
      </c>
      <c r="M127" s="25" t="inlineStr">
        <is>
          <t>bhobbs@jhu.edu</t>
        </is>
      </c>
      <c r="N127" s="25" t="inlineStr"/>
      <c r="O127" s="25" t="inlineStr">
        <is>
          <t>Benjamin F Hobbs</t>
        </is>
      </c>
      <c r="P127" s="25" t="inlineStr">
        <is>
          <t>Tomek Bartoszynski</t>
        </is>
      </c>
      <c r="Q127" s="25" t="inlineStr">
        <is>
          <t>tbartosz@nsf.gov</t>
        </is>
      </c>
      <c r="R127" s="25" t="inlineStr">
        <is>
          <t>THE JOHNS HOPKINS UNIVERSITY</t>
        </is>
      </c>
      <c r="S127" s="25" t="inlineStr">
        <is>
          <t>BALTIMORE</t>
        </is>
      </c>
      <c r="T127" s="25" t="inlineStr">
        <is>
          <t>MD</t>
        </is>
      </c>
      <c r="U127" s="25" t="inlineStr">
        <is>
          <t>212182608</t>
        </is>
      </c>
      <c r="V127" s="25" t="inlineStr">
        <is>
          <t>FTMTDMBR29C7</t>
        </is>
      </c>
      <c r="W127" s="25" t="inlineStr">
        <is>
          <t>BALTIMORE</t>
        </is>
      </c>
      <c r="X127" s="25" t="inlineStr">
        <is>
          <t>MD</t>
        </is>
      </c>
      <c r="Y127" s="25" t="inlineStr">
        <is>
          <t>MPS</t>
        </is>
      </c>
      <c r="Z127" s="25" t="inlineStr">
        <is>
          <t>DMS</t>
        </is>
      </c>
      <c r="AA127" s="26" t="inlineStr">
        <is>
          <t>AMPS-Algorithms for Modern Pow</t>
        </is>
      </c>
      <c r="AB127" s="25" t="inlineStr">
        <is>
          <t>Clean Energy Technology</t>
        </is>
      </c>
      <c r="AC127" s="25" t="inlineStr">
        <is>
          <t>045Y00</t>
        </is>
      </c>
      <c r="AD127" s="25" t="inlineStr">
        <is>
          <t>8396</t>
        </is>
      </c>
      <c r="AE127" s="25" t="inlineStr">
        <is>
          <t>47.049</t>
        </is>
      </c>
      <c r="AF127" s="25" t="inlineStr">
        <is>
          <t>1</t>
        </is>
      </c>
      <c r="AG127" s="25" t="inlineStr">
        <is>
          <t>04/08/2025</t>
        </is>
      </c>
      <c r="AH127" s="25" t="inlineStr">
        <is>
          <t>04/08/2025</t>
        </is>
      </c>
      <c r="AI127" s="26" t="inlineStr">
        <is>
          <t>This project addresses the critical issue of determining the best way to incentivize electricity producers to build sufficient power plant capacity to keep the electrical grid resilient, reliable and sustainable, all this while satisfying consumers. The goal is to provide regulators with tools to promote beneficial portfolios of battery storage and electricity production technologies, while also accounting for risks, transmission limitations and unpredictable events. Other outcomes of this project are expected to include development of new classes on Electricity Markets, support of new graduate students working in this area, and industrial collaborations.
A recurring question in electric power markets has been: are spot prices sufficient to incentivize enough investment in generation capacity, storage, and demand-side management in order to ensure reliable and sustainable operating conditions? In other words, are spot prices enough by themselves to stimulate efficient mixes of electricity supply and storage that ensure that the resulting grid is resilient, reliable and sustainable? This question will be addressed by a new framework that will incorporate realistic market features and explore their implications for short- and long-run equilibria, optimal capacity prices, and net benefits of market designs. These features include battery storage and variable wind and solar resources, as well as risk-aversion, incomplete markets, transmission congestion, optimal demand management, and other features. The new framework will use a unique set of analytical and computational methods to solve for Nash equilibria in market models that are unique in their combining representations of stochastic demand processes, market participant risk attitudes, and simultaneous consideration of the role of regulators, market operators, suppliers, and consumers. The proposed framework can be simplified to have tractable dynamics, and also is general enough to incorporate all the desired features of real markets, including battery storage, variable renewables, transmission limits, evolution of capacities, and optimal demand management. The goal will then be to find Nash equilibria among the supply capacities of producers, together with the regulator's optimal capacity payments that maximize net market benefits. The aim is to compare energy-only and capacity markets, find the combination of capacity payments and price caps that maximize the reliability and net benefits of the market. In the near future, the demands upon the grid are expected to dramatically increase, as more applications switch from fossil-fuels to electricity (e.g., electric vehicles), and new uses appear (e.g., AI, bitcoin mining). Therefore, it is vital to study how to keep supply reliable and affordable, and desired generation facilities financially sustainable (in a Nash equilibrium sense), while achieving social goals of renewable power by providing incentives to the producers to "do the right thing."
This award reflects NSF's statutory mission and has been deemed worthy of support through evaluation using the Foundation's intellectual merit and broader impacts review criteria.</t>
        </is>
      </c>
      <c r="AJ127" s="26" t="inlineStr"/>
    </row>
    <row r="128" ht="18" customHeight="1">
      <c r="A128" s="22" t="inlineStr">
        <is>
          <t>2342867</t>
        </is>
      </c>
      <c r="B128" s="23" t="inlineStr">
        <is>
          <t>Collaborative Research: NSF-DST: RI: Small: Algorithms from wetware:A neural model of spatial navigation in very large and cluttered space</t>
        </is>
      </c>
      <c r="C128" s="22" t="inlineStr">
        <is>
          <t>Standard Grant</t>
        </is>
      </c>
      <c r="D128" s="22" t="inlineStr">
        <is>
          <t>true</t>
        </is>
      </c>
      <c r="E128" s="22" t="inlineStr">
        <is>
          <t>04/11/2025</t>
        </is>
      </c>
      <c r="F128" s="22" t="inlineStr">
        <is>
          <t>04/15/2025</t>
        </is>
      </c>
      <c r="G128" s="22" t="inlineStr">
        <is>
          <t>03/31/2028</t>
        </is>
      </c>
      <c r="H128" s="22" t="inlineStr">
        <is>
          <t>2025</t>
        </is>
      </c>
      <c r="I128" s="24" t="n">
        <v>174998</v>
      </c>
      <c r="J128" s="24" t="n">
        <v>174998</v>
      </c>
      <c r="K128" s="22" t="inlineStr">
        <is>
          <t>James</t>
        </is>
      </c>
      <c r="L128" s="22" t="inlineStr">
        <is>
          <t>Knierim</t>
        </is>
      </c>
      <c r="M128" s="22" t="inlineStr">
        <is>
          <t>jknierim@jhu.edu</t>
        </is>
      </c>
      <c r="N128" s="22" t="inlineStr"/>
      <c r="O128" s="22" t="inlineStr">
        <is>
          <t>James J Knierim</t>
        </is>
      </c>
      <c r="P128" s="22" t="inlineStr">
        <is>
          <t>Jie Yang</t>
        </is>
      </c>
      <c r="Q128" s="22" t="inlineStr">
        <is>
          <t>jyang@nsf.gov</t>
        </is>
      </c>
      <c r="R128" s="22" t="inlineStr">
        <is>
          <t>THE JOHNS HOPKINS UNIVERSITY</t>
        </is>
      </c>
      <c r="S128" s="22" t="inlineStr">
        <is>
          <t>BALTIMORE</t>
        </is>
      </c>
      <c r="T128" s="22" t="inlineStr">
        <is>
          <t>MD</t>
        </is>
      </c>
      <c r="U128" s="22" t="inlineStr">
        <is>
          <t>212182608</t>
        </is>
      </c>
      <c r="V128" s="22" t="inlineStr">
        <is>
          <t>FTMTDMBR29C7</t>
        </is>
      </c>
      <c r="W128" s="22" t="inlineStr">
        <is>
          <t>BALTIMORE</t>
        </is>
      </c>
      <c r="X128" s="22" t="inlineStr">
        <is>
          <t>MD</t>
        </is>
      </c>
      <c r="Y128" s="22" t="inlineStr">
        <is>
          <t>CSE</t>
        </is>
      </c>
      <c r="Z128" s="22" t="inlineStr">
        <is>
          <t>IIS</t>
        </is>
      </c>
      <c r="AA128" s="23" t="inlineStr">
        <is>
          <t>Robust Intelligence</t>
        </is>
      </c>
      <c r="AB128" s="22" t="inlineStr">
        <is>
          <t>ROBUST INTELLIGENCE, SMALL PROJECT, Understanding the Brain/Cognitive Scienc</t>
        </is>
      </c>
      <c r="AC128" s="22" t="inlineStr">
        <is>
          <t>749500</t>
        </is>
      </c>
      <c r="AD128" s="22" t="inlineStr">
        <is>
          <t>7495, 7923, 8089</t>
        </is>
      </c>
      <c r="AE128" s="22" t="inlineStr">
        <is>
          <t>47.070</t>
        </is>
      </c>
      <c r="AF128" s="22" t="inlineStr">
        <is>
          <t>1</t>
        </is>
      </c>
      <c r="AG128" s="22" t="inlineStr">
        <is>
          <t>04/11/2025</t>
        </is>
      </c>
      <c r="AH128" s="22" t="inlineStr">
        <is>
          <t>04/11/2025</t>
        </is>
      </c>
      <c r="AI128" s="23" t="inlineStr">
        <is>
          <t>When navigating in complex environments, fixed landmarks and moving obstacles are crucial features that influence efficient and robust path planning, optimal route finding, and minimization of navigational errors. Autonomous vehicles are severely limited by their inability to reliably anchor their navigation to landmarks and predict and avoid the movement of others. The research team proposes to develop and refine a computational model of spatial navigation and spatial representation using neural data obtained wirelessly from animals navigating in the two largest electrophysiology-compatible rodent mazes in the world, which are known as “megaspaces.” These studies explore the influence of stationary landmarks and moving objects as rats optimize their routes: a classic paradigm (the Traveling Salesperson Problem) in Computer Science.  In addition to their technological impact in robotics and autonomous vehicles, these investigations can be extended to human mental health dysfunctions that are often accompanied by deficits in spatial processing such as in early onset Alzheimer’s disease, attentional deficit hyperactivity disorders, schizophrenia, or depression.
This investigation is novel and unique in trying to understand how the interactions between the hippocampus and entorhinal cortex, two main components of the brain’s ‘GPS’ system, facilitate navigation, learning, and complex decision making in very large spaces. The research involves using experimental data to constrain a detailed biophysical neural model and testing experimentally its predictions about the properties of neural representations of megaspaces in challenging navigational tasks.  The model will provide a new tool for the detailed study of the use of fixed landmark and moving obstacles in very large environments for efficient navigation. The work will contribute to robotics and computational neuroscience along two different axes: (1) using data-constrained modeling to propose concrete mechanisms explaining the nature of the interactions between self-motion and landmark-based navigational information and (2) using neural representations of large space to achieve efficient solutions or approximations for generally hard spatial navigational problems that could have significant impact in many disciplines.
A companion project is being funded by the Department of Science and Technology, India.
This award reflects NSF's statutory mission and has been deemed worthy of support through evaluation using the Foundation's intellectual merit and broader impacts review criteria.</t>
        </is>
      </c>
      <c r="AJ128" s="23" t="inlineStr"/>
    </row>
    <row r="129" ht="18" customHeight="1">
      <c r="A129" s="25" t="inlineStr">
        <is>
          <t>2514652</t>
        </is>
      </c>
      <c r="B129" s="26" t="inlineStr">
        <is>
          <t>Travel: NSF Travel Grant for 2024 NeurIPS Workshop on Creativity &amp; Generative AI (CAI24)</t>
        </is>
      </c>
      <c r="C129" s="25" t="inlineStr">
        <is>
          <t>Standard Grant</t>
        </is>
      </c>
      <c r="D129" s="25" t="inlineStr">
        <is>
          <t>false</t>
        </is>
      </c>
      <c r="E129" s="25" t="inlineStr">
        <is>
          <t>04/04/2025</t>
        </is>
      </c>
      <c r="F129" s="25" t="inlineStr">
        <is>
          <t>04/15/2025</t>
        </is>
      </c>
      <c r="G129" s="25" t="inlineStr">
        <is>
          <t>09/30/2025</t>
        </is>
      </c>
      <c r="H129" s="25" t="inlineStr">
        <is>
          <t>2025</t>
        </is>
      </c>
      <c r="I129" s="27" t="n">
        <v>10000</v>
      </c>
      <c r="J129" s="27" t="n">
        <v>10000</v>
      </c>
      <c r="K129" s="25" t="inlineStr">
        <is>
          <t>Holden</t>
        </is>
      </c>
      <c r="L129" s="25" t="inlineStr">
        <is>
          <t>Lee</t>
        </is>
      </c>
      <c r="M129" s="25" t="inlineStr">
        <is>
          <t>hlee283@jhu.edu</t>
        </is>
      </c>
      <c r="N129" s="25" t="inlineStr">
        <is>
          <t>Y- Cooper cooper.work@protonmail.com</t>
        </is>
      </c>
      <c r="O129" s="25" t="inlineStr">
        <is>
          <t>Holden Lee</t>
        </is>
      </c>
      <c r="P129" s="25" t="inlineStr">
        <is>
          <t>Dan Cosley</t>
        </is>
      </c>
      <c r="Q129" s="25" t="inlineStr">
        <is>
          <t>dcosley@nsf.gov</t>
        </is>
      </c>
      <c r="R129" s="25" t="inlineStr">
        <is>
          <t>THE JOHNS HOPKINS UNIVERSITY</t>
        </is>
      </c>
      <c r="S129" s="25" t="inlineStr">
        <is>
          <t>BALTIMORE</t>
        </is>
      </c>
      <c r="T129" s="25" t="inlineStr">
        <is>
          <t>MD</t>
        </is>
      </c>
      <c r="U129" s="25" t="inlineStr">
        <is>
          <t>212182608</t>
        </is>
      </c>
      <c r="V129" s="25" t="inlineStr">
        <is>
          <t>FTMTDMBR29C7</t>
        </is>
      </c>
      <c r="W129" s="25" t="inlineStr">
        <is>
          <t>BALTIMORE</t>
        </is>
      </c>
      <c r="X129" s="25" t="inlineStr">
        <is>
          <t>MD</t>
        </is>
      </c>
      <c r="Y129" s="25" t="inlineStr">
        <is>
          <t>CSE</t>
        </is>
      </c>
      <c r="Z129" s="25" t="inlineStr">
        <is>
          <t>IIS</t>
        </is>
      </c>
      <c r="AA129" s="26" t="inlineStr">
        <is>
          <t>HCC-Human-Centered Computing, Robust Intelligence</t>
        </is>
      </c>
      <c r="AB129" s="25" t="inlineStr">
        <is>
          <t>Cyber-Human Systems, ROBUST INTELLIGENCE, CONFERENCE AND WORKSHOPS</t>
        </is>
      </c>
      <c r="AC129" s="25" t="inlineStr">
        <is>
          <t>736700, 749500</t>
        </is>
      </c>
      <c r="AD129" s="25" t="inlineStr">
        <is>
          <t>7367, 7495, 7556</t>
        </is>
      </c>
      <c r="AE129" s="25" t="inlineStr">
        <is>
          <t>47.070</t>
        </is>
      </c>
      <c r="AF129" s="25" t="inlineStr">
        <is>
          <t>1</t>
        </is>
      </c>
      <c r="AG129" s="25" t="inlineStr">
        <is>
          <t>04/04/2025</t>
        </is>
      </c>
      <c r="AH129" s="25" t="inlineStr">
        <is>
          <t>06/17/2025</t>
        </is>
      </c>
      <c r="AI129" s="26" t="inlineStr">
        <is>
          <t>Generative AI systems are increasingly used to create text, images, and other media.  These systems raise technical and usability issues around ways to better-integrate AI-based tools into creative practice while respecting the needs of creative professionals whose content is used to train the models.  These issues include questions about the nature of, ownership of, and responsibility for creativity and the creative content generated by these tools.  To inform research addressing these issues, the Workshop on Creativity and Generative AI will bring together learning researchers and creative professionals.  By bringing together the people who build these tools and the people who use them and are impacted by them, the workshop will identify important directions for research and tool development around generative AI.  This award will support the participation of creative professionals in the workshop.
The Workshop on Creativity and Generative AI will be held in conjunction with the Neural Information Processing Systems (NeurIPS) conference, one of the world’s leading research conferences on AI.  NeurIPS is a home conference for machine learning researchers, so it is comparatively easier for them to attend the workshop than creative professionals.  Supporting creative professionals to attend the workshop is important for achieving its goals.  The participation of these professionals will inform the evolution of generative AI, while also bringing in a wider range of backgrounds and perspectives to the NeurIPS research community.
This award reflects NSF's statutory mission and has been deemed worthy of support through evaluation using the Foundation's intellectual merit and broader impacts review criteria.</t>
        </is>
      </c>
      <c r="AJ129" s="26" t="inlineStr">
        <is>
          <t>&lt;div class="porColContainerWBG"&gt;
&lt;div class="porContentCol"&gt;&lt;p&gt;&lt;span id="docs-internal-guid-67a52b53-7fff-1baf-c69c-0d5327921bf3"&gt; &lt;/span&gt;&lt;/p&gt;
&lt;p dir="ltr"&gt;&lt;span&gt;The &lt;/span&gt;&lt;span&gt;2024 NeurIPS Workshop on Creativity &amp;amp; Generative AI was held &lt;/span&gt;&lt;span&gt;on&lt;/span&gt;&lt;span&gt; December 14th and 15th in Vancouver, Canada&lt;/span&gt;&lt;span&gt;.&amp;nbsp; This workshop brought together AI researchers, creative professionals, and experts in related fields such as law, ethics, and economics. Activities included presentations of research posters and talks; exhibition of artwork &lt;/span&gt;&lt;span&gt;that critically engages with the use of AI in creative endeavors; and panels and round table discussions.&lt;/span&gt;&lt;/p&gt;
&lt;p&gt;&amp;nbsp;&lt;/p&gt;
&lt;p dir="ltr"&gt;&lt;span&gt;The program was designed to support AI researchers in developing a deeper understanding of the creative process of human artists, as well as to support creative professionals in steering the development of new generative AI tools.&amp;nbsp;&amp;nbsp;&lt;/span&gt;&lt;/p&gt;
&lt;p&gt;&amp;nbsp;&lt;/p&gt;
&lt;p dir="ltr"&gt;&lt;span&gt;One goal was the formation of constructive partnerships between experts in complementary fields.&amp;nbsp; This workshop also supported the development of actionable guidelines for practitioners, researchers, and artists regarding development, use, and responses to generative AI; finding solutions (technical, regulatory, or community-driven) to current problems in creative industries; as well as redirecting generative AI research in a manner informed by the values and experiences of creative professionals.&amp;nbsp;&lt;/span&gt;&lt;/p&gt;
&lt;p&gt;&amp;nbsp;&lt;/p&gt;
&lt;p dir="ltr"&gt;&lt;span&gt;This workshop helped bring in expertise from creative professionals who have often been shut out of the conversation about AI, helping them overcome financial, technical, and communication barriers to engage with the wider community.&amp;nbsp; Funding for this workshop provided financial support to 7 creative professionals to attend and participate in the discussion.&lt;/span&gt;&lt;/p&gt;
&lt;p&gt;&amp;nbsp;&lt;/p&gt;
&lt;p dir="ltr"&gt;&lt;span&gt;At the workshop, creative professionals from disparate fields, such as illustration, sound engineering, game design, and literature, discussed with each other challenges from AI unique to their fields, as well as shared initiatives relating to AI in their fields, providing ideas and inspiration for new initiatives.&lt;/span&gt;&lt;/p&gt;
&lt;div&gt;&lt;span&gt;&lt;br /&gt;&lt;/span&gt;&lt;/div&gt;
&lt;p&gt;&amp;nbsp;&lt;/p&gt;
&lt;p&gt;&amp;nbsp;&lt;/p&gt;&lt;br&gt;
&lt;p&gt;
 Last Modified: 01/30/2026&lt;br&gt;
Modified by: Holden&amp;nbsp;Lee&lt;/p&gt;&lt;/div&gt;
&lt;div class="porSideCol"
&gt;&lt;/div&gt;
&lt;/div&gt;</t>
        </is>
      </c>
    </row>
    <row r="130" ht="18" customHeight="1">
      <c r="A130" s="22" t="inlineStr">
        <is>
          <t>2502667</t>
        </is>
      </c>
      <c r="B130" s="23" t="inlineStr">
        <is>
          <t>Collaborative Research: DMREF: Data-Driven Discovery of the Processing Genome for Heterogenous Superalloy Microstructures</t>
        </is>
      </c>
      <c r="C130" s="22" t="inlineStr">
        <is>
          <t>Standard Grant</t>
        </is>
      </c>
      <c r="D130" s="22" t="inlineStr">
        <is>
          <t>true</t>
        </is>
      </c>
      <c r="E130" s="22" t="inlineStr">
        <is>
          <t>04/03/2025</t>
        </is>
      </c>
      <c r="F130" s="22" t="inlineStr">
        <is>
          <t>04/15/2025</t>
        </is>
      </c>
      <c r="G130" s="22" t="inlineStr">
        <is>
          <t>09/30/2027</t>
        </is>
      </c>
      <c r="H130" s="22" t="inlineStr">
        <is>
          <t>2025</t>
        </is>
      </c>
      <c r="I130" s="24" t="n">
        <v>534000</v>
      </c>
      <c r="J130" s="24" t="n">
        <v>534000</v>
      </c>
      <c r="K130" s="22" t="inlineStr">
        <is>
          <t>Timothy</t>
        </is>
      </c>
      <c r="L130" s="22" t="inlineStr">
        <is>
          <t>Rupert</t>
        </is>
      </c>
      <c r="M130" s="22" t="inlineStr">
        <is>
          <t>tim.rupert@jhu.edu</t>
        </is>
      </c>
      <c r="N130" s="22" t="inlineStr"/>
      <c r="O130" s="22" t="inlineStr">
        <is>
          <t>Timothy J Rupert</t>
        </is>
      </c>
      <c r="P130" s="22" t="inlineStr">
        <is>
          <t>Cristian Ciobanu</t>
        </is>
      </c>
      <c r="Q130" s="22" t="inlineStr">
        <is>
          <t>cciobanu@nsf.gov</t>
        </is>
      </c>
      <c r="R130" s="22" t="inlineStr">
        <is>
          <t>THE JOHNS HOPKINS UNIVERSITY</t>
        </is>
      </c>
      <c r="S130" s="22" t="inlineStr">
        <is>
          <t>BALTIMORE</t>
        </is>
      </c>
      <c r="T130" s="22" t="inlineStr">
        <is>
          <t>MD</t>
        </is>
      </c>
      <c r="U130" s="22" t="inlineStr">
        <is>
          <t>212182608</t>
        </is>
      </c>
      <c r="V130" s="22" t="inlineStr">
        <is>
          <t>FTMTDMBR29C7</t>
        </is>
      </c>
      <c r="W130" s="22" t="inlineStr">
        <is>
          <t>BALTIMORE</t>
        </is>
      </c>
      <c r="X130" s="22" t="inlineStr">
        <is>
          <t>MD</t>
        </is>
      </c>
      <c r="Y130" s="22" t="inlineStr">
        <is>
          <t>MPS</t>
        </is>
      </c>
      <c r="Z130" s="22" t="inlineStr">
        <is>
          <t>DMR</t>
        </is>
      </c>
      <c r="AA130" s="23" t="inlineStr">
        <is>
          <t>DMREF</t>
        </is>
      </c>
      <c r="AB130" s="22" t="inlineStr">
        <is>
          <t>(MGI) Materials Genome Initiative, Materials Under Extreme Conditions, Materials Data, Materials AI, Advanced Manufacturing, DMREF</t>
        </is>
      </c>
      <c r="AC130" s="22" t="inlineStr">
        <is>
          <t>829200</t>
        </is>
      </c>
      <c r="AD130" s="22" t="inlineStr">
        <is>
          <t>054Z, 089Z, 094Z, 095Z, 8037, 8400</t>
        </is>
      </c>
      <c r="AE130" s="22" t="inlineStr">
        <is>
          <t>47.041, 47.049</t>
        </is>
      </c>
      <c r="AF130" s="22" t="inlineStr">
        <is>
          <t>1</t>
        </is>
      </c>
      <c r="AG130" s="22" t="inlineStr">
        <is>
          <t>04/03/2025</t>
        </is>
      </c>
      <c r="AH130" s="22" t="inlineStr">
        <is>
          <t>04/03/2025</t>
        </is>
      </c>
      <c r="AI130" s="23" t="inlineStr">
        <is>
          <t>This Designing Materials to Revolutionize and Engineer our Future (DMREF) project aims to revolutionize the creation of novel engineering alloys by focusing on the relationship between the process of production and the material's resultant microstructure - the internal structure invisible to the naked eye. This relationship is a crucial but less-explored segment of the material science lifecycle, yet directly connects processing to performance. Using cutting-edge machine learning and data science, the project team will build a platform, named as DRAGONS (Data-driven Recursive AI-powered Generator of Optimized Nanostructured Superalloys), to discover these connections, enabling more nuanced control over material production. DRAGONS will prescribe ideal processing conditions to achieve a specific material microstructure. This project carries broad significance, with the potential to drive advancements in diverse sectors that rely on novel materials including electronics, healthcare, energy, and transportation. Additionally, the project's educational outreach activities aim to inspire the next generation of scientists and engineers by providing a more diverse, inclusive, and sustainable pathway into these fields. Hence, this research carries potential to catalyze scientific advancement, foster economic growth, and enhance educational outcomes.
This DMREF project focuses on harnessing machine learning and data science to advance understanding of the processing-microstructure relationships in the production of novel materials, a key, yet underexplored facet of the Materials Genome Initiative (MGI). The research team will develop a data-driven platform, named as Data-driven Recursive AI-powered Generator of Optimized Nanostructured Superalloys (DRAGONS), to demystify the complex relationships inherent in the creation of multi-phase, heterogeneous nanostructured materials (HNMs). DRAGONS will utilize predictive models to interpret microstructure attributes based on given processing conditions and, in a reciprocal manner, provide processing parameters required to generate a predefined microstructure. Capitalizing on expertise in magnetron sputtering and heat treatment (MS+HT), the research team aims to engineer intricate heterogeneous designs in Ni-based superalloys. An iterative research framework encompasses synthesis and microstructural design, microstructure characterization, atomistic simulation, and mesoscale modeling, and each cycle will refine DRAGONS, fostering stronger links between processing descriptors and microstructure features. The broader impacts of this work span the potential to reshape engineered alloy development and to foster collaborations with NIST scientists. Furthermore, educational programs targeted at developing a diverse, skilled workforce in materials engineering underscore the project's commitment to society.
This award reflects NSF's statutory mission and has been deemed worthy of support through evaluation using the Foundation's intellectual merit and broader impacts review criteria.</t>
        </is>
      </c>
      <c r="AJ130" s="23" t="inlineStr"/>
    </row>
    <row r="131" ht="18" customHeight="1">
      <c r="A131" s="25" t="inlineStr">
        <is>
          <t>2448554</t>
        </is>
      </c>
      <c r="B131" s="26" t="inlineStr">
        <is>
          <t>Caledonian ophiolites, rift volcanics and the Laurentian margin: Constraining the context for subduction initiation in the Iapetus Ocean</t>
        </is>
      </c>
      <c r="C131" s="25" t="inlineStr">
        <is>
          <t>Standard Grant</t>
        </is>
      </c>
      <c r="D131" s="25" t="inlineStr">
        <is>
          <t>true</t>
        </is>
      </c>
      <c r="E131" s="25" t="inlineStr">
        <is>
          <t>02/20/2025</t>
        </is>
      </c>
      <c r="F131" s="25" t="inlineStr">
        <is>
          <t>03/01/2025</t>
        </is>
      </c>
      <c r="G131" s="25" t="inlineStr">
        <is>
          <t>02/29/2028</t>
        </is>
      </c>
      <c r="H131" s="25" t="inlineStr">
        <is>
          <t>2025</t>
        </is>
      </c>
      <c r="I131" s="27" t="n">
        <v>339129</v>
      </c>
      <c r="J131" s="27" t="n">
        <v>339129</v>
      </c>
      <c r="K131" s="25" t="inlineStr">
        <is>
          <t>Daniel</t>
        </is>
      </c>
      <c r="L131" s="25" t="inlineStr">
        <is>
          <t>Viete</t>
        </is>
      </c>
      <c r="M131" s="25" t="inlineStr">
        <is>
          <t>viete@jhu.edu</t>
        </is>
      </c>
      <c r="N131" s="25" t="inlineStr"/>
      <c r="O131" s="25" t="inlineStr">
        <is>
          <t>Daniel R Viete</t>
        </is>
      </c>
      <c r="P131" s="25" t="inlineStr">
        <is>
          <t>Jennifer Wade</t>
        </is>
      </c>
      <c r="Q131" s="25" t="inlineStr">
        <is>
          <t>jwade@nsf.gov</t>
        </is>
      </c>
      <c r="R131" s="25" t="inlineStr">
        <is>
          <t>THE JOHNS HOPKINS UNIVERSITY</t>
        </is>
      </c>
      <c r="S131" s="25" t="inlineStr">
        <is>
          <t>BALTIMORE</t>
        </is>
      </c>
      <c r="T131" s="25" t="inlineStr">
        <is>
          <t>MD</t>
        </is>
      </c>
      <c r="U131" s="25" t="inlineStr">
        <is>
          <t>212182608</t>
        </is>
      </c>
      <c r="V131" s="25" t="inlineStr">
        <is>
          <t>FTMTDMBR29C7</t>
        </is>
      </c>
      <c r="W131" s="25" t="inlineStr">
        <is>
          <t>Baltimore</t>
        </is>
      </c>
      <c r="X131" s="25" t="inlineStr">
        <is>
          <t>MD</t>
        </is>
      </c>
      <c r="Y131" s="25" t="inlineStr">
        <is>
          <t>GEO</t>
        </is>
      </c>
      <c r="Z131" s="25" t="inlineStr">
        <is>
          <t>EAR</t>
        </is>
      </c>
      <c r="AA131" s="26" t="inlineStr">
        <is>
          <t>CESEV-Chem Evo of Earth &amp; Volc, SPSE-Study of Physics of Earth</t>
        </is>
      </c>
      <c r="AB131" s="25" t="inlineStr"/>
      <c r="AC131" s="25" t="inlineStr">
        <is>
          <t>330Y00, 331Y00</t>
        </is>
      </c>
      <c r="AD131" s="25" t="inlineStr"/>
      <c r="AE131" s="25" t="inlineStr">
        <is>
          <t>47.050</t>
        </is>
      </c>
      <c r="AF131" s="25" t="inlineStr">
        <is>
          <t>1</t>
        </is>
      </c>
      <c r="AG131" s="25" t="inlineStr">
        <is>
          <t>02/20/2025</t>
        </is>
      </c>
      <c r="AH131" s="25" t="inlineStr">
        <is>
          <t>02/20/2025</t>
        </is>
      </c>
      <c r="AI131" s="26" t="inlineStr">
        <is>
          <t>Non-technical Abstract
Earth’s solid outer layer is made up of either continental or oceanic crust. In Earth’s past, the continents had different arrangements to what we are familiar with today. The theory of plate tectonics, which emerged in the 1960s and was formalized in the 1970s, explains the changing face of Earth in terms of the opening and closing of oceans (i.e., creation and destruction of the oceanic crust that floors them). The coming and going of oceans act to fragment and separate continents then bring them back together in new formats. With over 50 years of scientific inquiry since the discovery of plate tectonics, geologists still do not understand the exact processes responsible for the birth and death of oceans. The Atlantic Ocean is 180 million years old and has not yet shown any signs that it is closing. Geological evidence suggests that a previous ocean existed in a similar region to the Atlantic of today; the Iapetus Ocean, named after the father of Atlas in Greek mythology. Geological constraints on the birth and death of the Iapetus Ocean suggest that it began closing less than 80 million years after it opened. Why the divergent fates of these two oceans? The answer to this question may lie in the respective processes that birthed the Atlantic and Iapetus.
This project will test the idea that the process of ocean formation—the style of continental rifting—can impart differential susceptibility to subsequent closure of the ocean basin that forms. Research will proceed via geological, geochemical and geochronological study of fragments of the Iapetus Ocean preserved at five locations between western Scotland and Arctic Norway. Work will focus on the apparent spatial coincidence of records of Iapetus Ocean opening and closing, and implications for the setting in which the closing process was seeded. The project includes public outreach that will benefit local urban population in Baltimore. Summer research internships will provide opportunities for local high school students to get involved in hands-on research. The team will also lead field excursions to explore the “Baltimore Ophiolite’ – a rare sliver of ancient oceanic crust preserved in an urban setting.
Technical Abstract
The Wilson Cycle is a cherished concept in plate tectonics. However, an enduring issue with the model is the inherent strength of passive margins, which should resist the implied process of passive margin collapse to initiate subduction. Supra-subduction zone (SSZ) ophiolites of the Scottish and Norwegian Caledonides record the first instance of subduction initiation across approximately 2,000 km of the Wilson Cycle’s archetypal ocean, the Iapetus. Seeding work on these SSZ ophiolites suggests a potentially ubiquitous association between records of rifting to open the Iapetus Ocean and those of subduction initiation to close it. These associations provide tantalizing clues that margin structure/litho-architecture inherited from rifting may leave certain passive margins more susceptible to subduction initiation via passive margin collapse.
This project will explore the idea of passive margin susceptibility to subduction initiation by testing two hypotheses: (1) Iapetan subduction initiation occurred in regions that also experienced Ediacaran rifting of Rodinia, and (2) Iapetan subduction initiation occurred in an oceanic setting proximal to the Laurentian margin. Testing Hypothesis 1 will involve geochemical characterization and zircon U-Pb dating of enigmatic metavolcanic packages adjacent to the SSZ ophiolites of Unst, Scotland, and Karmøy and Leka, Norway. Testing Hypothesis 2 will involve geochemical and detrital zircon characterization of metagraywackes from the cover sequences of the Karmøy, Leka and Lyngen SSZ Ophiolites, Norway.
This award reflects NSF's statutory mission and has been deemed worthy of support through evaluation using the Foundation's intellectual merit and broader impacts review criteria.</t>
        </is>
      </c>
      <c r="AJ131" s="26" t="inlineStr"/>
    </row>
    <row r="132" ht="18" customHeight="1">
      <c r="A132" s="22" t="inlineStr">
        <is>
          <t>2440535</t>
        </is>
      </c>
      <c r="B132" s="23" t="inlineStr">
        <is>
          <t>CAREER: Exploring novel interactions between CRISPR-Cas systems and temperate bacteriophages</t>
        </is>
      </c>
      <c r="C132" s="22" t="inlineStr">
        <is>
          <t>Continuing Grant</t>
        </is>
      </c>
      <c r="D132" s="22" t="inlineStr">
        <is>
          <t>true</t>
        </is>
      </c>
      <c r="E132" s="22" t="inlineStr">
        <is>
          <t>02/14/2025</t>
        </is>
      </c>
      <c r="F132" s="22" t="inlineStr">
        <is>
          <t>03/01/2025</t>
        </is>
      </c>
      <c r="G132" s="22" t="inlineStr">
        <is>
          <t>02/28/2030</t>
        </is>
      </c>
      <c r="H132" s="22" t="inlineStr">
        <is>
          <t>2025</t>
        </is>
      </c>
      <c r="I132" s="24" t="n">
        <v>479999</v>
      </c>
      <c r="J132" s="24" t="n">
        <v>1200000</v>
      </c>
      <c r="K132" s="22" t="inlineStr">
        <is>
          <t>Joshua</t>
        </is>
      </c>
      <c r="L132" s="22" t="inlineStr">
        <is>
          <t>Modell</t>
        </is>
      </c>
      <c r="M132" s="22" t="inlineStr">
        <is>
          <t>jmodell1@jhmi.edu</t>
        </is>
      </c>
      <c r="N132" s="22" t="inlineStr"/>
      <c r="O132" s="22" t="inlineStr">
        <is>
          <t>Joshua Modell</t>
        </is>
      </c>
      <c r="P132" s="22" t="inlineStr">
        <is>
          <t>Diana Chu</t>
        </is>
      </c>
      <c r="Q132" s="22" t="inlineStr">
        <is>
          <t>dschu@nsf.gov</t>
        </is>
      </c>
      <c r="R132" s="22" t="inlineStr">
        <is>
          <t>THE JOHNS HOPKINS UNIVERSITY</t>
        </is>
      </c>
      <c r="S132" s="22" t="inlineStr">
        <is>
          <t>BALTIMORE</t>
        </is>
      </c>
      <c r="T132" s="22" t="inlineStr">
        <is>
          <t>MD</t>
        </is>
      </c>
      <c r="U132" s="22" t="inlineStr">
        <is>
          <t>212182608</t>
        </is>
      </c>
      <c r="V132" s="22" t="inlineStr">
        <is>
          <t>FTMTDMBR29C7</t>
        </is>
      </c>
      <c r="W132" s="22" t="inlineStr">
        <is>
          <t>BALTIMORE</t>
        </is>
      </c>
      <c r="X132" s="22" t="inlineStr">
        <is>
          <t>MD</t>
        </is>
      </c>
      <c r="Y132" s="22" t="inlineStr">
        <is>
          <t>BIO</t>
        </is>
      </c>
      <c r="Z132" s="22" t="inlineStr">
        <is>
          <t>MCB</t>
        </is>
      </c>
      <c r="AA132" s="23" t="inlineStr">
        <is>
          <t>Genetic Mechanisms</t>
        </is>
      </c>
      <c r="AB132" s="22" t="inlineStr">
        <is>
          <t>CAREER-Faculty Erly Career Dev, NANOSCALE BIO CORE</t>
        </is>
      </c>
      <c r="AC132" s="22" t="inlineStr">
        <is>
          <t>111200</t>
        </is>
      </c>
      <c r="AD132" s="22" t="inlineStr">
        <is>
          <t>1045, 7465</t>
        </is>
      </c>
      <c r="AE132" s="22" t="inlineStr">
        <is>
          <t>47.074</t>
        </is>
      </c>
      <c r="AF132" s="22" t="inlineStr">
        <is>
          <t>1</t>
        </is>
      </c>
      <c r="AG132" s="22" t="inlineStr">
        <is>
          <t>02/14/2025</t>
        </is>
      </c>
      <c r="AH132" s="22" t="inlineStr">
        <is>
          <t>07/24/2025</t>
        </is>
      </c>
      <c r="AI132" s="23" t="inlineStr">
        <is>
          <t>Bacterial protein Cas9, part of the CRISPR-Cas immunity system, has emerged as a transformative gene editing tool with applications in basic research, agriculture, and healthcare. However, despite its widespread adoption in biotechnology, many questions remain regarding how Cas9 functions in nature. Cas9 main biological function is to protect bacteria from viral invaders known as bacteriophages, or phages for short. These CRISPR-Cas9 systems acquire memories, in the form of DNA fragments, from prior phage infections, allowing bacterial cells to rapidly kill the same phage when it is encountered again in a later infection. This project will explore the hypothesis that a class of phages called “temperate phages” that are often neglected in CRISPR-Cas studies hold the key to understanding CRISPR-Cas memory acquisition. These results will inform new generations of Cas9 technologies, including molecular recording devices, and highlight how CRISPR-Cas systems and temperate phages together influence the evolution of bacterial communities. The project also details an educational plan that will provide undergraduate students an opportunity to learn more about the arms race between bacteria and their phages and careers in microbiological research.
A central question in CRISPR-Cas memory creation is how cells survive a lytic phage infection long enough to create a new memory and utilize it for defense. Intriguingly, many CRISPR systems target temperate phages, which are capable of entering a program called ‘lysogeny’, in which their DNA is inserted into the bacterial chromosome, where it may remain in a dormant form. This proposal tests the hypothesis that CRISPR-Cas systems can exploit the temperate lifecycle by acquiring memories about those phages under non-lytic conditions. Specifically, the proposal examines whether new memories can be made during the initiation of lysogeny (aim 1) and/or after lysogeny has occurred and the phage has integrated into the chromosome as a prophage (aim 2). Finally, the proposal tests whether prophages can influence the ability of CRISPR-Cas systems to acquire memories from other infecting phages (aim 3). Temperate phages are understudied in CRISPR-Cas laboratory experiments, because the rates of lysogeny are significantly higher than spacer acquisition. This proposal will employ new genetic tools to thoroughly dissect the interactions between CRISPR-Cas systems and their natural temperate phage targets, revealing a new paradigm for how CRISPR-Cas immunity is established.
This award reflects NSF's statutory mission and has been deemed worthy of support through evaluation using the Foundation's intellectual merit and broader impacts review criteria.</t>
        </is>
      </c>
      <c r="AJ132" s="23" t="inlineStr"/>
    </row>
    <row r="133" ht="18" customHeight="1">
      <c r="A133" s="25" t="inlineStr">
        <is>
          <t>2513146</t>
        </is>
      </c>
      <c r="B133" s="26" t="inlineStr">
        <is>
          <t>I-Corps: Translation Potential of Real-time Bacterial Detection Technology</t>
        </is>
      </c>
      <c r="C133" s="25" t="inlineStr">
        <is>
          <t>Standard Grant</t>
        </is>
      </c>
      <c r="D133" s="25" t="inlineStr">
        <is>
          <t>false</t>
        </is>
      </c>
      <c r="E133" s="25" t="inlineStr">
        <is>
          <t>01/21/2025</t>
        </is>
      </c>
      <c r="F133" s="25" t="inlineStr">
        <is>
          <t>02/01/2025</t>
        </is>
      </c>
      <c r="G133" s="25" t="inlineStr">
        <is>
          <t>01/31/2026</t>
        </is>
      </c>
      <c r="H133" s="25" t="inlineStr">
        <is>
          <t>2025</t>
        </is>
      </c>
      <c r="I133" s="27" t="n">
        <v>0</v>
      </c>
      <c r="J133" s="27" t="n">
        <v>50000</v>
      </c>
      <c r="K133" s="25" t="inlineStr">
        <is>
          <t>Youseph</t>
        </is>
      </c>
      <c r="L133" s="25" t="inlineStr">
        <is>
          <t>Yazdi</t>
        </is>
      </c>
      <c r="M133" s="25" t="inlineStr">
        <is>
          <t>yyazdi@jhu.edu</t>
        </is>
      </c>
      <c r="N133" s="25" t="inlineStr"/>
      <c r="O133" s="25" t="inlineStr">
        <is>
          <t>Youseph Yazdi</t>
        </is>
      </c>
      <c r="P133" s="25" t="inlineStr">
        <is>
          <t>Jaime A. Camelio</t>
        </is>
      </c>
      <c r="Q133" s="25" t="inlineStr"/>
      <c r="R133" s="25" t="inlineStr">
        <is>
          <t>THE JOHNS HOPKINS UNIVERSITY</t>
        </is>
      </c>
      <c r="S133" s="25" t="inlineStr">
        <is>
          <t>BALTIMORE</t>
        </is>
      </c>
      <c r="T133" s="25" t="inlineStr">
        <is>
          <t>MD</t>
        </is>
      </c>
      <c r="U133" s="25" t="inlineStr">
        <is>
          <t>212182608</t>
        </is>
      </c>
      <c r="V133" s="25" t="inlineStr">
        <is>
          <t>FTMTDMBR29C7</t>
        </is>
      </c>
      <c r="W133" s="25" t="inlineStr">
        <is>
          <t>BALTIMORE</t>
        </is>
      </c>
      <c r="X133" s="25" t="inlineStr">
        <is>
          <t>MD</t>
        </is>
      </c>
      <c r="Y133" s="25" t="inlineStr">
        <is>
          <t>TIP</t>
        </is>
      </c>
      <c r="Z133" s="25" t="inlineStr">
        <is>
          <t>TI</t>
        </is>
      </c>
      <c r="AA133" s="26" t="inlineStr">
        <is>
          <t>I-Corps</t>
        </is>
      </c>
      <c r="AB133" s="25" t="inlineStr">
        <is>
          <t>BIOMEDICAL ENG AND DIAGNOSTICS</t>
        </is>
      </c>
      <c r="AC133" s="25" t="inlineStr">
        <is>
          <t>802300</t>
        </is>
      </c>
      <c r="AD133" s="25" t="inlineStr">
        <is>
          <t>004E</t>
        </is>
      </c>
      <c r="AE133" s="25" t="inlineStr">
        <is>
          <t>47.084</t>
        </is>
      </c>
      <c r="AF133" s="25" t="inlineStr">
        <is>
          <t>1</t>
        </is>
      </c>
      <c r="AG133" s="25" t="inlineStr">
        <is>
          <t>01/21/2025</t>
        </is>
      </c>
      <c r="AH133" s="25" t="inlineStr">
        <is>
          <t>03/05/2025</t>
        </is>
      </c>
      <c r="AI133" s="26" t="inlineStr">
        <is>
          <t>The broader impact of this I-Corps project is the development of a food safety testing system that handles large volumes of samples to detect dangerous bacterial contamination. Each year in the United States alone, hundreds of thousands of people become ill from consuming contaminated food products, resulting in billions of dollars in medical costs and lost wages. Current testing approaches rely on taking small samples from large production lots, which is both time-consuming and potentially unreliable. This new technology enables rapid screening of entire production batches, dramatically reducing both testing costs and time, while improving detection reliability. The system's affordability and simplicity make it particularly valuable for widespread deployment across the food supply chain - from farms to processing facilities to consumer-facing establishments. By enabling comprehensive testing at the source, this technology could reduce foodborne illness outbreaks while helping food producers operate more efficiently and maintain product quality.
This I-Corps project utilizes experiential learning coupled with a first-hand investigation of the industry ecosystem to assess the translation potential of the technology. This solution is based on the development of a two-part food safety detection system that overcomes key limitations of current testing methods. The first component uses specially engineered polymer channels that can process large sample volumes and concentrate bacteria into small areas for analysis. The second component employs advanced optical techniques to rapidly identify bacterial species without requiring additional chemicals or labels. The system can process and analyze entire production lots in minutes rather than hours, while providing more reliable results than traditional sampling methods. Laboratory testing has demonstrated the ability to selectively capture and identify harmful bacteria from complex samples with high accuracy. The technology maintains sensitivity while eliminating complex sample preparation steps, making it practical for real-world deployment.
This award reflects NSF's statutory mission and has been deemed worthy of support through evaluation using the Foundation's intellectual merit and broader impacts review criteria.</t>
        </is>
      </c>
      <c r="AJ133" s="26" t="inlineStr"/>
    </row>
    <row r="134" ht="18" customHeight="1">
      <c r="A134" s="22" t="inlineStr">
        <is>
          <t>2533652</t>
        </is>
      </c>
      <c r="B134" s="23" t="inlineStr">
        <is>
          <t>CAREER: What is in a Voice?: Scientific and Machine Learning Advancement for Voice Conversion</t>
        </is>
      </c>
      <c r="C134" s="22" t="inlineStr">
        <is>
          <t>Continuing Grant</t>
        </is>
      </c>
      <c r="D134" s="22" t="inlineStr">
        <is>
          <t>true</t>
        </is>
      </c>
      <c r="E134" s="22" t="inlineStr">
        <is>
          <t>05/15/2025</t>
        </is>
      </c>
      <c r="F134" s="22" t="inlineStr">
        <is>
          <t>01/01/2025</t>
        </is>
      </c>
      <c r="G134" s="22" t="inlineStr">
        <is>
          <t>05/31/2029</t>
        </is>
      </c>
      <c r="H134" s="22" t="inlineStr">
        <is>
          <t>2025</t>
        </is>
      </c>
      <c r="I134" s="24" t="n">
        <v>563693</v>
      </c>
      <c r="J134" s="24" t="n">
        <v>563693</v>
      </c>
      <c r="K134" s="22" t="inlineStr">
        <is>
          <t>Berrak</t>
        </is>
      </c>
      <c r="L134" s="22" t="inlineStr">
        <is>
          <t>Sisman</t>
        </is>
      </c>
      <c r="M134" s="22" t="inlineStr">
        <is>
          <t>sisman@jhu.edu</t>
        </is>
      </c>
      <c r="N134" s="22" t="inlineStr"/>
      <c r="O134" s="22" t="inlineStr">
        <is>
          <t>Berrak Sisman</t>
        </is>
      </c>
      <c r="P134" s="22" t="inlineStr">
        <is>
          <t>Jie Yang</t>
        </is>
      </c>
      <c r="Q134" s="22" t="inlineStr">
        <is>
          <t>jyang@nsf.gov</t>
        </is>
      </c>
      <c r="R134" s="22" t="inlineStr">
        <is>
          <t>THE JOHNS HOPKINS UNIVERSITY</t>
        </is>
      </c>
      <c r="S134" s="22" t="inlineStr">
        <is>
          <t>BALTIMORE</t>
        </is>
      </c>
      <c r="T134" s="22" t="inlineStr">
        <is>
          <t>MD</t>
        </is>
      </c>
      <c r="U134" s="22" t="inlineStr">
        <is>
          <t>212182608</t>
        </is>
      </c>
      <c r="V134" s="22" t="inlineStr">
        <is>
          <t>FTMTDMBR29C7</t>
        </is>
      </c>
      <c r="W134" s="22" t="inlineStr">
        <is>
          <t>BALTIMORE</t>
        </is>
      </c>
      <c r="X134" s="22" t="inlineStr">
        <is>
          <t>MD</t>
        </is>
      </c>
      <c r="Y134" s="22" t="inlineStr">
        <is>
          <t>CSE</t>
        </is>
      </c>
      <c r="Z134" s="22" t="inlineStr">
        <is>
          <t>IIS</t>
        </is>
      </c>
      <c r="AA134" s="23" t="inlineStr">
        <is>
          <t>Robust Intelligence</t>
        </is>
      </c>
      <c r="AB134" s="22" t="inlineStr">
        <is>
          <t>CAREER-Faculty Erly Career Dev, ROBUST INTELLIGENCE</t>
        </is>
      </c>
      <c r="AC134" s="22" t="inlineStr">
        <is>
          <t>749500</t>
        </is>
      </c>
      <c r="AD134" s="22" t="inlineStr">
        <is>
          <t>1045, 7495</t>
        </is>
      </c>
      <c r="AE134" s="22" t="inlineStr">
        <is>
          <t>47.070</t>
        </is>
      </c>
      <c r="AF134" s="22" t="inlineStr">
        <is>
          <t>1</t>
        </is>
      </c>
      <c r="AG134" s="22" t="inlineStr">
        <is>
          <t>05/15/2025</t>
        </is>
      </c>
      <c r="AH134" s="22" t="inlineStr">
        <is>
          <t>05/30/2025</t>
        </is>
      </c>
      <c r="AI134" s="23" t="inlineStr">
        <is>
          <t>Prior research and applications of voice conversion models have raised challenging problems that are both theoretical and use-inspired. Notable challenges include processing emotional speech and speech in noisy environments and generating speech that represents the characteristics and expressiveness of specific speakers such as personality traits, mood, prosody, and emotional state. These challenges are exacerbated by a limited availability of data. Improving such capabilities will have a wide range of social impacts ranging from giving natural voice to patients who have lost it to rendering comprehensible and speaker faithful renderings of old poor quality recordings that have become hard to understand to generating seamless speech translations in real time communications while staying faithful to the voice characteristics of the speaker. To address these challenges, the project proposes to explore and expand theories about speaker identity, emotion, and expressiveness in challenging conditions. Practically, this means studying how factors like background noise, emotions such as stress, cultural differences or other idiosyncratic ways of speaking affect a system’s ability to recognize and render faithfully the speech of a specific individual. This work will enable a second aim of this project which is to create voice technology that can be used for safeguarding ethical and responsible use of voice generation. Sophisticated voice conversion techniques can be used to detect and prevent spoofing and other fraudulent activities and make it challenging for unauthorized users to mimic or imitate target speakers. Besides security and defense other areas that will benefit from this project include security and defense, accessibility and healthcare assistive technologies, medical voice preservation, speech therapy and rehabilitations as well as entertainment and gaming.
This award aims to develop novel algorithms utilizing deep learning techniques to advance voice conversion models with the ability to represent faithfully the characteristics and emotional states of individual speech. The project includes the following key areas of research. The first research target is to explore learning speaker identity and emotion representations for robust voice conversion with self-supervision. By investigating joint representations, this project seeks to develop a deeper understanding of how speaker characteristics and emotions can be effectively transformed. The second research target is to investigate voice conversion solutions for challenging conditions such as noisy environment, emotional speakers, and limited training to enhance the expressiveness and naturalness of the converted speech. The third research target is to investigate novel deep learning techniques for the detection of synthetic voices and joint training strategies to further improve voice conversion performance and evaluation. By exploring the synergies between transformation and detection of synthetic voices, this project has the potential to significantly impact society with a) accurate and expressive voice-based applications and b) applying the same techniques to detect when speech is naturally occurring or synthetic for the prevention of spoofing.
This award reflects NSF's statutory mission and has been deemed worthy of support through evaluation using the Foundation's intellectual merit and broader impacts review criteria.</t>
        </is>
      </c>
      <c r="AJ134" s="23" t="inlineStr"/>
    </row>
    <row r="135" ht="18" customHeight="1">
      <c r="A135" s="25" t="inlineStr">
        <is>
          <t>2533429</t>
        </is>
      </c>
      <c r="B135" s="26" t="inlineStr">
        <is>
          <t>CAREER: Dynamical Rigidity Related to Group Actions and Arithmetics</t>
        </is>
      </c>
      <c r="C135" s="25" t="inlineStr">
        <is>
          <t>Continuing Grant</t>
        </is>
      </c>
      <c r="D135" s="25" t="inlineStr">
        <is>
          <t>true</t>
        </is>
      </c>
      <c r="E135" s="25" t="inlineStr">
        <is>
          <t>06/05/2025</t>
        </is>
      </c>
      <c r="F135" s="25" t="inlineStr">
        <is>
          <t>01/01/2025</t>
        </is>
      </c>
      <c r="G135" s="25" t="inlineStr">
        <is>
          <t>08/31/2026</t>
        </is>
      </c>
      <c r="H135" s="25" t="inlineStr">
        <is>
          <t>2025</t>
        </is>
      </c>
      <c r="I135" s="27" t="n">
        <v>61570</v>
      </c>
      <c r="J135" s="27" t="n">
        <v>425000</v>
      </c>
      <c r="K135" s="25" t="inlineStr">
        <is>
          <t>Zhiren</t>
        </is>
      </c>
      <c r="L135" s="25" t="inlineStr">
        <is>
          <t>Wang</t>
        </is>
      </c>
      <c r="M135" s="25" t="inlineStr">
        <is>
          <t>zhiren.w@gmail.com</t>
        </is>
      </c>
      <c r="N135" s="25" t="inlineStr"/>
      <c r="O135" s="25" t="inlineStr">
        <is>
          <t>Zhiren Wang</t>
        </is>
      </c>
      <c r="P135" s="25" t="inlineStr">
        <is>
          <t>Marian Bocea</t>
        </is>
      </c>
      <c r="Q135" s="25" t="inlineStr">
        <is>
          <t>mbocea@nsf.gov</t>
        </is>
      </c>
      <c r="R135" s="25" t="inlineStr">
        <is>
          <t>THE JOHNS HOPKINS UNIVERSITY</t>
        </is>
      </c>
      <c r="S135" s="25" t="inlineStr">
        <is>
          <t>BALTIMORE</t>
        </is>
      </c>
      <c r="T135" s="25" t="inlineStr">
        <is>
          <t>MD</t>
        </is>
      </c>
      <c r="U135" s="25" t="inlineStr">
        <is>
          <t>212182608</t>
        </is>
      </c>
      <c r="V135" s="25" t="inlineStr">
        <is>
          <t>FTMTDMBR29C7</t>
        </is>
      </c>
      <c r="W135" s="25" t="inlineStr">
        <is>
          <t>BALTIMORE</t>
        </is>
      </c>
      <c r="X135" s="25" t="inlineStr">
        <is>
          <t>MD</t>
        </is>
      </c>
      <c r="Y135" s="25" t="inlineStr">
        <is>
          <t>MPS</t>
        </is>
      </c>
      <c r="Z135" s="25" t="inlineStr">
        <is>
          <t>DMS</t>
        </is>
      </c>
      <c r="AA135" s="26" t="inlineStr">
        <is>
          <t>ANALYSIS PROGRAM, Division Co-Funding: CAREER, ALGEBRA,NUMBER THEORY,AND COM</t>
        </is>
      </c>
      <c r="AB135" s="25" t="inlineStr">
        <is>
          <t>CAREER-Faculty Erly Career Dev</t>
        </is>
      </c>
      <c r="AC135" s="25" t="inlineStr">
        <is>
          <t>128100, 804800, 126400</t>
        </is>
      </c>
      <c r="AD135" s="25" t="inlineStr">
        <is>
          <t>1045</t>
        </is>
      </c>
      <c r="AE135" s="25" t="inlineStr">
        <is>
          <t>47.049</t>
        </is>
      </c>
      <c r="AF135" s="25" t="inlineStr">
        <is>
          <t>1</t>
        </is>
      </c>
      <c r="AG135" s="25" t="inlineStr">
        <is>
          <t>06/05/2025</t>
        </is>
      </c>
      <c r="AH135" s="25" t="inlineStr">
        <is>
          <t>06/05/2025</t>
        </is>
      </c>
      <c r="AI135" s="26" t="inlineStr">
        <is>
          <t>The proposed project belongs to the field of dynamical systems, which is the study of long-term trajectories of movements that take place over time in a geometric space and are governed by a fixed set of mathematical rules. The theory of dynamical systems has its roots in celestial mechanics and has become an important tool in many other scientific fields. The proposed research deals with the question of whether a given dynamical system has rigidity properties, namely whether different trajectories must display a lot of common patterns. The principal investigator will conduct research on the topic, collaborate with other researchers, work with graduate and undergraduate students, and disseminate ideas developed in the project. The principal investigator will also organize seminars and conferences. In particular, the principal investigator will organize a series of research workshops for undergraduate students.
This research will try to determine properties of certain classes of dynamical systems of group theoretical or number theoretical origins. One of such classes are actions on smooth manifolds by higher-rank commutative groups or by lattices in higher-rank semisimple Lie groups. These actions are often expected to have rigidity, a phenomenon characterized by the scarcity of invariant structures under the action.  Another proposed line of research is the study of some special cases of the Mobius disjointness conjecture. These include certain distal topological systems and other systems whose trajectories have strict patterns in sufficiently long term. The approaches in the proposed research will use ideas from ergodic theory, smooth dynamics, representation theory and number theory.
This award reflects NSF's statutory mission and has been deemed worthy of support through evaluation using the Foundation's intellectual merit and broader impacts review criteria.</t>
        </is>
      </c>
      <c r="AJ135" s="26" t="inlineStr"/>
    </row>
    <row r="136" ht="18" customHeight="1">
      <c r="A136" s="22" t="inlineStr">
        <is>
          <t>2528780</t>
        </is>
      </c>
      <c r="B136" s="23" t="inlineStr">
        <is>
          <t>Collaborative Research: CNS: Medium:  Scalable Learning from Distributed Data for Wireless Network Management</t>
        </is>
      </c>
      <c r="C136" s="22" t="inlineStr">
        <is>
          <t>Continuing Grant</t>
        </is>
      </c>
      <c r="D136" s="22" t="inlineStr">
        <is>
          <t>true</t>
        </is>
      </c>
      <c r="E136" s="22" t="inlineStr">
        <is>
          <t>07/15/2025</t>
        </is>
      </c>
      <c r="F136" s="22" t="inlineStr">
        <is>
          <t>01/01/2025</t>
        </is>
      </c>
      <c r="G136" s="22" t="inlineStr">
        <is>
          <t>09/30/2026</t>
        </is>
      </c>
      <c r="H136" s="22" t="inlineStr">
        <is>
          <t>2025</t>
        </is>
      </c>
      <c r="I136" s="24" t="n">
        <v>165874</v>
      </c>
      <c r="J136" s="24" t="n">
        <v>199874</v>
      </c>
      <c r="K136" s="22" t="inlineStr">
        <is>
          <t>Vladimir</t>
        </is>
      </c>
      <c r="L136" s="22" t="inlineStr">
        <is>
          <t>Braverman</t>
        </is>
      </c>
      <c r="M136" s="22" t="inlineStr">
        <is>
          <t>vb21@rice.edu</t>
        </is>
      </c>
      <c r="N136" s="22" t="inlineStr"/>
      <c r="O136" s="22" t="inlineStr">
        <is>
          <t>Vladimir m Braverman</t>
        </is>
      </c>
      <c r="P136" s="22" t="inlineStr">
        <is>
          <t>Hang Liu</t>
        </is>
      </c>
      <c r="Q136" s="22" t="inlineStr">
        <is>
          <t>haliu@nsf.gov</t>
        </is>
      </c>
      <c r="R136" s="22" t="inlineStr">
        <is>
          <t>THE JOHNS HOPKINS UNIVERSITY</t>
        </is>
      </c>
      <c r="S136" s="22" t="inlineStr">
        <is>
          <t>BALTIMORE</t>
        </is>
      </c>
      <c r="T136" s="22" t="inlineStr">
        <is>
          <t>MD</t>
        </is>
      </c>
      <c r="U136" s="22" t="inlineStr">
        <is>
          <t>212182608</t>
        </is>
      </c>
      <c r="V136" s="22" t="inlineStr">
        <is>
          <t>FTMTDMBR29C7</t>
        </is>
      </c>
      <c r="W136" s="22" t="inlineStr">
        <is>
          <t>BALTIMORE</t>
        </is>
      </c>
      <c r="X136" s="22" t="inlineStr">
        <is>
          <t>MD</t>
        </is>
      </c>
      <c r="Y136" s="22" t="inlineStr">
        <is>
          <t>CSE</t>
        </is>
      </c>
      <c r="Z136" s="22" t="inlineStr">
        <is>
          <t>CNS</t>
        </is>
      </c>
      <c r="AA136" s="23" t="inlineStr">
        <is>
          <t>Networking Technology and Syst</t>
        </is>
      </c>
      <c r="AB136" s="22" t="inlineStr">
        <is>
          <t>MEDIUM PROJECT</t>
        </is>
      </c>
      <c r="AC136" s="22" t="inlineStr">
        <is>
          <t>736300</t>
        </is>
      </c>
      <c r="AD136" s="22" t="inlineStr">
        <is>
          <t>7924</t>
        </is>
      </c>
      <c r="AE136" s="22" t="inlineStr">
        <is>
          <t>47.070</t>
        </is>
      </c>
      <c r="AF136" s="22" t="inlineStr">
        <is>
          <t>1</t>
        </is>
      </c>
      <c r="AG136" s="22" t="inlineStr">
        <is>
          <t>07/15/2025</t>
        </is>
      </c>
      <c r="AH136" s="22" t="inlineStr">
        <is>
          <t>07/15/2025</t>
        </is>
      </c>
      <c r="AI136" s="23" t="inlineStr">
        <is>
          <t>The transition to 5G is expected to witness not only an emergence of new applications such as mobile augmented and virtual reality, but also opens up the attack surface to both known, and previously unknown threats. Thus, wireless networks of the future will need better control and management at different temporal and traffic aggregation granularities (e.g., how to allocate spectrum, how to quarantine distributed attacks etc.).  This project aims to develop scalable, machine learning based analytics on the data from a large set of geographically distributed wireless core network entities such as base stations. The research will enable new approaches for: (a) compressing the raw data via novel summaries and sketches, that reduce overhead while simultaneously enabling highly accurate scalable analytics (b) scalable yet highly flexible distributed learning approaches that are built upon the emerging federated learning paradigm and (c) flexible allocation of bandwidth to support the control plane analytics that minimizes the impact on the data plane. 
The proposed research outcomes will be systems, algorithms, and data analytics workflows that will inform the design and management of next generation critical wireless infrastructures. The approaches developed will enable ISPs to better apportion resources and enable better performance for emerging augmented reality applications for societal benefit (e.g., disaster response and management). In addition, the approaches can enable the discovery and profiling of new threats, which will have significant implications on national security.  The proposed education activities are expected to provide students with a comprehensive training in networking, security, system building, and data science. Thus, there is significant potential for broader impact in terms of contributions to workforce development in an area of national need.
This award reflects NSF's statutory mission and has been deemed worthy of support through evaluation using the Foundation's intellectual merit and broader impacts review criteria.</t>
        </is>
      </c>
      <c r="AJ136" s="23" t="inlineStr"/>
    </row>
    <row r="137" ht="18" customHeight="1">
      <c r="A137" s="25" t="inlineStr">
        <is>
          <t>2436107</t>
        </is>
      </c>
      <c r="B137" s="26" t="inlineStr">
        <is>
          <t>Collaborative Research: Decoding the Aero-Structural Dynamics of Feathered Wings in Flapping Flight via Computational Models</t>
        </is>
      </c>
      <c r="C137" s="25" t="inlineStr">
        <is>
          <t>Standard Grant</t>
        </is>
      </c>
      <c r="D137" s="25" t="inlineStr">
        <is>
          <t>true</t>
        </is>
      </c>
      <c r="E137" s="25" t="inlineStr">
        <is>
          <t>01/08/2025</t>
        </is>
      </c>
      <c r="F137" s="25" t="inlineStr">
        <is>
          <t>11/01/2024</t>
        </is>
      </c>
      <c r="G137" s="25" t="inlineStr">
        <is>
          <t>10/31/2027</t>
        </is>
      </c>
      <c r="H137" s="25" t="inlineStr">
        <is>
          <t>2025</t>
        </is>
      </c>
      <c r="I137" s="27" t="n">
        <v>490565</v>
      </c>
      <c r="J137" s="27" t="n">
        <v>490565</v>
      </c>
      <c r="K137" s="25" t="inlineStr">
        <is>
          <t>Rajat</t>
        </is>
      </c>
      <c r="L137" s="25" t="inlineStr">
        <is>
          <t>Mittal</t>
        </is>
      </c>
      <c r="M137" s="25" t="inlineStr">
        <is>
          <t>mittal@jhu.edu</t>
        </is>
      </c>
      <c r="N137" s="25" t="inlineStr"/>
      <c r="O137" s="25" t="inlineStr">
        <is>
          <t>Rajat Mittal</t>
        </is>
      </c>
      <c r="P137" s="25" t="inlineStr">
        <is>
          <t>Ron Joslin</t>
        </is>
      </c>
      <c r="Q137" s="25" t="inlineStr">
        <is>
          <t>rjoslin@nsf.gov</t>
        </is>
      </c>
      <c r="R137" s="25" t="inlineStr">
        <is>
          <t>THE JOHNS HOPKINS UNIVERSITY</t>
        </is>
      </c>
      <c r="S137" s="25" t="inlineStr">
        <is>
          <t>BALTIMORE</t>
        </is>
      </c>
      <c r="T137" s="25" t="inlineStr">
        <is>
          <t>MD</t>
        </is>
      </c>
      <c r="U137" s="25" t="inlineStr">
        <is>
          <t>212182608</t>
        </is>
      </c>
      <c r="V137" s="25" t="inlineStr">
        <is>
          <t>FTMTDMBR29C7</t>
        </is>
      </c>
      <c r="W137" s="25" t="inlineStr">
        <is>
          <t>BALTIMORE</t>
        </is>
      </c>
      <c r="X137" s="25" t="inlineStr">
        <is>
          <t>MD</t>
        </is>
      </c>
      <c r="Y137" s="25" t="inlineStr">
        <is>
          <t>ENG</t>
        </is>
      </c>
      <c r="Z137" s="25" t="inlineStr">
        <is>
          <t>CBET</t>
        </is>
      </c>
      <c r="AA137" s="26" t="inlineStr">
        <is>
          <t>FD-Fluid Dynamics</t>
        </is>
      </c>
      <c r="AB137" s="25" t="inlineStr"/>
      <c r="AC137" s="25" t="inlineStr">
        <is>
          <t>144300</t>
        </is>
      </c>
      <c r="AD137" s="25" t="inlineStr"/>
      <c r="AE137" s="25" t="inlineStr">
        <is>
          <t>47.041</t>
        </is>
      </c>
      <c r="AF137" s="25" t="inlineStr">
        <is>
          <t>1</t>
        </is>
      </c>
      <c r="AG137" s="25" t="inlineStr">
        <is>
          <t>01/08/2025</t>
        </is>
      </c>
      <c r="AH137" s="25" t="inlineStr">
        <is>
          <t>01/08/2025</t>
        </is>
      </c>
      <c r="AI137" s="26" t="inlineStr">
        <is>
          <t>Feathered wings are a fascinating part of bird flight, yet they are not well understood. These wings have unique properties, from tiny barbicels that maintain structural integrity to individual feathers that change position, shape, and alignment. Flight feathers are both flexible and strong, and act individually or together depending on the flight situation. The close arrangement of feathers enables complex airflows between them, affecting aerodynamic force generation and feather deformation. However, our knowledge of these dynamics is limited. This project aims to investigate the unique properties of feathers and feathered wings that enhance flight capabilities, including their porosity and deformability, and their ability to change shape during flapping. The research combines experiments on isolated feathers, groups of feathers, computational models, and live bird observations to study this complex problem. The fascination and intrigue evoked by bird flight and the multi-modal research approach adopted here will be leveraged for outreach to undergraduate and K-12 students. The students and trainees involved in this project will become part of a new generation of scientists and engineers capable of applying computational and experimental methods across disciplines to tackle complex problems.
The goals of this project are to: (1) investigate the aerodynamics and aero-structural dynamics of individual feathers; (2) study the interactional flow effects in multi-feather configurations; and (3) explore the aerodynamics of flapping flight with feathered wing-inspired models.  First-of-their-kind computational models will be developed to  incorporate not only the complex vortex dominated flows generated by feathers but also the aero-structural deformations and feather permeability. These computational models will be parameterized by structural testing and wind-tunnel studies of feathers as well as flying birds.  The simulations will use innovative modeling approaches and efficient computational algorithms to bridge the very large range of scales that are encountered in this multi-physics problem. Micro-computed tomography imaging, micro-tensile testing, and wind-tunnel recordings of the aeroelasticity of feathers will provide key data for input and comparison with the simulations. The computational models of multi-feathered flapping wings parameterized from feather kinematics extracted from birds in flapping flight will significantly advance understanding of the function of this unique and intriguing flight “device.” The findings could improve designs for drones, making them lighter, quieter, and more efficient. The research could also lead to better understanding of flow over porous surfaces, benefiting various fields like aeronautics, biomedicine, and engineering. Finally, this research will enable exceptional educational and training opportunities for students at the intersection of biology and engineering.
This award reflects NSF's statutory mission and has been deemed worthy of support through evaluation using the Foundation's intellectual merit and broader impacts review criteria.</t>
        </is>
      </c>
      <c r="AJ137" s="26" t="inlineStr"/>
    </row>
    <row r="138" ht="18" customHeight="1">
      <c r="A138" s="22" t="inlineStr">
        <is>
          <t>2534515</t>
        </is>
      </c>
      <c r="B138" s="23" t="inlineStr">
        <is>
          <t>Collaborative Research: Structure and Function of Direct Delivery Peptides</t>
        </is>
      </c>
      <c r="C138" s="22" t="inlineStr">
        <is>
          <t>Standard Grant</t>
        </is>
      </c>
      <c r="D138" s="22" t="inlineStr">
        <is>
          <t>true</t>
        </is>
      </c>
      <c r="E138" s="22" t="inlineStr">
        <is>
          <t>03/26/2026</t>
        </is>
      </c>
      <c r="F138" s="22" t="inlineStr">
        <is>
          <t>04/01/2026</t>
        </is>
      </c>
      <c r="G138" s="22" t="inlineStr">
        <is>
          <t>03/31/2029</t>
        </is>
      </c>
      <c r="H138" s="22" t="inlineStr">
        <is>
          <t>2026</t>
        </is>
      </c>
      <c r="I138" s="24" t="n">
        <v>300000</v>
      </c>
      <c r="J138" s="24" t="n">
        <v>300000</v>
      </c>
      <c r="K138" s="22" t="inlineStr">
        <is>
          <t>Kalina</t>
        </is>
      </c>
      <c r="L138" s="22" t="inlineStr">
        <is>
          <t>Hristova</t>
        </is>
      </c>
      <c r="M138" s="22" t="inlineStr">
        <is>
          <t>hristova@jhu.edu</t>
        </is>
      </c>
      <c r="N138" s="22" t="inlineStr"/>
      <c r="O138" s="22" t="inlineStr">
        <is>
          <t>Kalina Hristova</t>
        </is>
      </c>
      <c r="P138" s="22" t="inlineStr">
        <is>
          <t>Nitsa Rosenzweig</t>
        </is>
      </c>
      <c r="Q138" s="22" t="inlineStr">
        <is>
          <t>nirosenz@nsf.gov</t>
        </is>
      </c>
      <c r="R138" s="22" t="inlineStr">
        <is>
          <t>THE JOHNS HOPKINS UNIVERSITY</t>
        </is>
      </c>
      <c r="S138" s="22" t="inlineStr">
        <is>
          <t>BALTIMORE</t>
        </is>
      </c>
      <c r="T138" s="22" t="inlineStr">
        <is>
          <t>MD</t>
        </is>
      </c>
      <c r="U138" s="22" t="inlineStr">
        <is>
          <t>212182608</t>
        </is>
      </c>
      <c r="V138" s="22" t="inlineStr">
        <is>
          <t>FTMTDMBR29C7</t>
        </is>
      </c>
      <c r="W138" s="22" t="inlineStr">
        <is>
          <t>BALTIMORE</t>
        </is>
      </c>
      <c r="X138" s="22" t="inlineStr">
        <is>
          <t>MD</t>
        </is>
      </c>
      <c r="Y138" s="22" t="inlineStr">
        <is>
          <t>MPS</t>
        </is>
      </c>
      <c r="Z138" s="22" t="inlineStr">
        <is>
          <t>DMR</t>
        </is>
      </c>
      <c r="AA138" s="23" t="inlineStr">
        <is>
          <t>BIOMATERIALS PROGRAM</t>
        </is>
      </c>
      <c r="AB138" s="22" t="inlineStr">
        <is>
          <t>BIO-RELATED MATERIALS RESEARCH</t>
        </is>
      </c>
      <c r="AC138" s="22" t="inlineStr">
        <is>
          <t>762300</t>
        </is>
      </c>
      <c r="AD138" s="22" t="inlineStr">
        <is>
          <t>7573</t>
        </is>
      </c>
      <c r="AE138" s="22" t="inlineStr">
        <is>
          <t>47.049</t>
        </is>
      </c>
      <c r="AF138" s="22" t="inlineStr">
        <is>
          <t>1</t>
        </is>
      </c>
      <c r="AG138" s="22" t="inlineStr">
        <is>
          <t>03/26/2026</t>
        </is>
      </c>
      <c r="AH138" s="22" t="inlineStr">
        <is>
          <t>03/26/2026</t>
        </is>
      </c>
      <c r="AI138" s="23" t="inlineStr">
        <is>
          <t>Non-technical description
Every living cell is surrounded by a very thin membrane barrier that keeps most large and water-soluble molecules out of the cell. The membrane protects the cell, but it also makes it hard to deliver useful cargo molecules, such as drugs, into cells. Short molecules called cell penetrating peptides can sometimes carry cargo across this barrier, but most known examples work inefficiently and tend to trap their cargo inside internal compartments where the cargo cannot do its job. Recently, researchers discovered a new class of peptides that behave differently. These peptides can move directly across the cell membrane and deliver cargo molecules with much higher efficiency and without entrapment. The goal of this project is to understand how these unusual direct delivery peptides cross cell membranes and why they work better than earlier examples. The team studies how the peptides interact with the lipids that make up cell membranes and how the chemical complexity of real cell membranes affects the interactions. The team develops laboratory membrane systems that closely mimic natural cell membranes to study the interactions in detail. By uncovering the rules that allow peptides to cross membranes directly, this work helps scientists design new molecules to deliver useful cargos into cells. The project also supports the training of undergraduate and graduate students in interdisciplinary research and shares results through publications and outreach activities that introduce students to the science of cell membranes and biomaterials.
Technical description
The plasma membrane of a cell prevents most hydrophilic macromolecules from entering the cytosol. Classical cell penetrating peptides such as tat and penetratin can deliver these cargos, but they rely on endocytosis. This pathway is inefficient and often traps the cargo inside intracellular vesicles where they are degraded. Recently discovered direct delivery peptides perform much better and use a different mechanism. These peptides can deliver many kinds of cargo to the cytosol at low concentrations and with high efficiency. Current evidence suggests that they cross the plasma membrane by direct translocation, but the molecular basis of this process is still unclear. The goal of this project is to identify the peptide structural features and peptide–lipid interactions that allow efficient direct plasma membrane translocation. The central hypothesis of this work is that these peptides adopt flexible conformations that promote strong interactions between arginine side chains and lipid headgroups at the membrane surface, along with cooperative interactions involving aromatic residues. To test this idea, the team carries out systematic structure–activity and mechanistic studies that compare classical cell penetrating peptides with direct delivery peptides under the same experimental conditions. Plasma membrane lipids are isolated from plasma membrane–derived vesicles and used to build customizable lipid mixtures that reproduce the chemical complexity of biological membranes. The team measures peptide binding, translocation efficiency, structural dynamics, and peptide–lipid interactions in these systems and relate those properties to delivery activity. These studies define the molecular principles that allow efficient membrane translocation and guide the design of new peptide-based delivery materials that can transport a wide range of cargos into living cells.
This award reflects NSF's statutory mission and has been deemed worthy of support through evaluation using the Foundation's intellectual merit and broader impacts review criteria.</t>
        </is>
      </c>
      <c r="AJ138" s="23" t="inlineStr"/>
    </row>
    <row r="139" ht="18" customHeight="1">
      <c r="A139" s="25" t="inlineStr">
        <is>
          <t>2614641</t>
        </is>
      </c>
      <c r="B139" s="26" t="inlineStr">
        <is>
          <t>Conference: Trailblazer Engineering Impact Award Workshop</t>
        </is>
      </c>
      <c r="C139" s="25" t="inlineStr">
        <is>
          <t>Standard Grant</t>
        </is>
      </c>
      <c r="D139" s="25" t="inlineStr">
        <is>
          <t>true</t>
        </is>
      </c>
      <c r="E139" s="25" t="inlineStr">
        <is>
          <t>03/20/2026</t>
        </is>
      </c>
      <c r="F139" s="25" t="inlineStr">
        <is>
          <t>04/01/2026</t>
        </is>
      </c>
      <c r="G139" s="25" t="inlineStr">
        <is>
          <t>03/31/2027</t>
        </is>
      </c>
      <c r="H139" s="25" t="inlineStr">
        <is>
          <t>2026</t>
        </is>
      </c>
      <c r="I139" s="27" t="n">
        <v>55000</v>
      </c>
      <c r="J139" s="27" t="n">
        <v>55000</v>
      </c>
      <c r="K139" s="25" t="inlineStr">
        <is>
          <t>Yun</t>
        </is>
      </c>
      <c r="L139" s="25" t="inlineStr">
        <is>
          <t>Chen</t>
        </is>
      </c>
      <c r="M139" s="25" t="inlineStr">
        <is>
          <t>lgriff33@jh.edu</t>
        </is>
      </c>
      <c r="N139" s="25" t="inlineStr"/>
      <c r="O139" s="25" t="inlineStr">
        <is>
          <t>Yun Chen</t>
        </is>
      </c>
      <c r="P139" s="25" t="inlineStr">
        <is>
          <t>Gregory Rorrer</t>
        </is>
      </c>
      <c r="Q139" s="25" t="inlineStr">
        <is>
          <t>grorrer@nsf.gov</t>
        </is>
      </c>
      <c r="R139" s="25" t="inlineStr">
        <is>
          <t>THE JOHNS HOPKINS UNIVERSITY</t>
        </is>
      </c>
      <c r="S139" s="25" t="inlineStr">
        <is>
          <t>BALTIMORE</t>
        </is>
      </c>
      <c r="T139" s="25" t="inlineStr">
        <is>
          <t>MD</t>
        </is>
      </c>
      <c r="U139" s="25" t="inlineStr">
        <is>
          <t>212182608</t>
        </is>
      </c>
      <c r="V139" s="25" t="inlineStr">
        <is>
          <t>FTMTDMBR29C7</t>
        </is>
      </c>
      <c r="W139" s="25" t="inlineStr">
        <is>
          <t>BALTIMORE</t>
        </is>
      </c>
      <c r="X139" s="25" t="inlineStr">
        <is>
          <t>MD</t>
        </is>
      </c>
      <c r="Y139" s="25" t="inlineStr">
        <is>
          <t>ENG</t>
        </is>
      </c>
      <c r="Z139" s="25" t="inlineStr">
        <is>
          <t>EFMA</t>
        </is>
      </c>
      <c r="AA139" s="26" t="inlineStr">
        <is>
          <t>EFRI Research Projects</t>
        </is>
      </c>
      <c r="AB139" s="25" t="inlineStr">
        <is>
          <t>EFRI RESEARCH PROJECTS</t>
        </is>
      </c>
      <c r="AC139" s="25" t="inlineStr">
        <is>
          <t>763300</t>
        </is>
      </c>
      <c r="AD139" s="25" t="inlineStr">
        <is>
          <t>7633</t>
        </is>
      </c>
      <c r="AE139" s="25" t="inlineStr">
        <is>
          <t>47.041</t>
        </is>
      </c>
      <c r="AF139" s="25" t="inlineStr">
        <is>
          <t>1</t>
        </is>
      </c>
      <c r="AG139" s="25" t="inlineStr">
        <is>
          <t>03/20/2026</t>
        </is>
      </c>
      <c r="AH139" s="25" t="inlineStr">
        <is>
          <t>03/20/2026</t>
        </is>
      </c>
      <c r="AI139" s="26" t="inlineStr">
        <is>
          <t>This award will support a workshop to bring together principal investigators supported by NSF Trailblazer Engineering Impact Award program, also known as NSF Trailblazer.  The principal investigators are thought leaders on topics ranging from biotech and robotics – areas of national need that are important for U.S. leadership in high technology.  Over the two-day event, the principal investigators will brainstorm future research directions in high technology areas important for the U.S.  The workshop will also include students of principal investigators and involve them in the visioning process.   These discussions will promote a culture of creativity and risk-taking that align with the NSF mission to advance U.S.  leadership in science and engineering.
The Trailblazer Engineering Impact Award (NSF Trailblazer) Workshop will bring together current awardees of the NSF Trailblazer program for two days of structured dialogue and collaboration. The workshop will provide a dedicated forum for sharing transformative research directions, exchanging lessons learned, and exploring convergence opportunities across diverse engineering domains that address national research needs in emerging technologies, particularly in diverse areas of bioengineering, hazards &amp; resilience, quantum science &amp; computing, semiconductors, and robotics.  Through presentations, interactive sessions, and collaborative activities, participants will collectively articulate emerging themes and future research visions aligned with the goals of the NSF Trailblazer program.  By amplifying communication and collaboration within this unique community, the event will accelerate the translation of bold ideas into impactful directions and inform future priorities for transformative engineering. Outputs such as a collaboratively authored perspective document and recorded sessions will extend the reach of these discussions, promoting a culture of creativity and risk-taking that aligns with the NSF mission to advance U.S.  leadership in science and engineering.
This award reflects NSF's statutory mission and has been deemed worthy of support through evaluation using the Foundation's intellectual merit and broader impacts review criteria.</t>
        </is>
      </c>
      <c r="AJ139" s="26" t="inlineStr"/>
    </row>
    <row r="140" ht="18" customHeight="1">
      <c r="A140" s="22" t="inlineStr">
        <is>
          <t>2543275</t>
        </is>
      </c>
      <c r="B140" s="23" t="inlineStr">
        <is>
          <t>CAREER: Equivalence Principle Test with Ytterbium Atom Interferometry</t>
        </is>
      </c>
      <c r="C140" s="22" t="inlineStr">
        <is>
          <t>Continuing Grant</t>
        </is>
      </c>
      <c r="D140" s="22" t="inlineStr">
        <is>
          <t>true</t>
        </is>
      </c>
      <c r="E140" s="22" t="inlineStr">
        <is>
          <t>01/23/2026</t>
        </is>
      </c>
      <c r="F140" s="22" t="inlineStr">
        <is>
          <t>02/01/2026</t>
        </is>
      </c>
      <c r="G140" s="22" t="inlineStr">
        <is>
          <t>01/31/2031</t>
        </is>
      </c>
      <c r="H140" s="22" t="inlineStr">
        <is>
          <t>2026</t>
        </is>
      </c>
      <c r="I140" s="24" t="n">
        <v>431961</v>
      </c>
      <c r="J140" s="24" t="n">
        <v>749769</v>
      </c>
      <c r="K140" s="22" t="inlineStr">
        <is>
          <t>Chris</t>
        </is>
      </c>
      <c r="L140" s="22" t="inlineStr">
        <is>
          <t>Overstreet</t>
        </is>
      </c>
      <c r="M140" s="22" t="inlineStr">
        <is>
          <t>c.overstreet@jhu.edu</t>
        </is>
      </c>
      <c r="N140" s="22" t="inlineStr"/>
      <c r="O140" s="22" t="inlineStr">
        <is>
          <t>Chris Overstreet</t>
        </is>
      </c>
      <c r="P140" s="22" t="inlineStr">
        <is>
          <t>Jeremiah D. Williams</t>
        </is>
      </c>
      <c r="Q140" s="22" t="inlineStr">
        <is>
          <t>jdwillia@nsf.gov</t>
        </is>
      </c>
      <c r="R140" s="22" t="inlineStr">
        <is>
          <t>THE JOHNS HOPKINS UNIVERSITY</t>
        </is>
      </c>
      <c r="S140" s="22" t="inlineStr">
        <is>
          <t>BALTIMORE</t>
        </is>
      </c>
      <c r="T140" s="22" t="inlineStr">
        <is>
          <t>MD</t>
        </is>
      </c>
      <c r="U140" s="22" t="inlineStr">
        <is>
          <t>212182608</t>
        </is>
      </c>
      <c r="V140" s="22" t="inlineStr">
        <is>
          <t>FTMTDMBR29C7</t>
        </is>
      </c>
      <c r="W140" s="22" t="inlineStr">
        <is>
          <t>BALTIMORE</t>
        </is>
      </c>
      <c r="X140" s="22" t="inlineStr">
        <is>
          <t>MD</t>
        </is>
      </c>
      <c r="Y140" s="22" t="inlineStr">
        <is>
          <t>MPS</t>
        </is>
      </c>
      <c r="Z140" s="22" t="inlineStr">
        <is>
          <t>PHY</t>
        </is>
      </c>
      <c r="AA140" s="23" t="inlineStr">
        <is>
          <t>Particle Astrophysics/Cosmic P, AMO Experiment/Atomic, Molecul</t>
        </is>
      </c>
      <c r="AB140" s="22" t="inlineStr">
        <is>
          <t>CAREER-Faculty Erly Career Dev, PRECISION MEASUREMENTS, QUANTUM INFORMATION SCIENCE</t>
        </is>
      </c>
      <c r="AC140" s="22" t="inlineStr">
        <is>
          <t>164300, 124100</t>
        </is>
      </c>
      <c r="AD140" s="22" t="inlineStr">
        <is>
          <t>1045, 1289, 7203</t>
        </is>
      </c>
      <c r="AE140" s="22" t="inlineStr">
        <is>
          <t>47.049</t>
        </is>
      </c>
      <c r="AF140" s="22" t="inlineStr">
        <is>
          <t>1</t>
        </is>
      </c>
      <c r="AG140" s="22" t="inlineStr">
        <is>
          <t>01/23/2026</t>
        </is>
      </c>
      <c r="AH140" s="22" t="inlineStr">
        <is>
          <t>01/23/2026</t>
        </is>
      </c>
      <c r="AI140" s="23" t="inlineStr">
        <is>
          <t>The equivalence principle (EP) states that all massive objects fall at the same rate in a given gravitational field.  This idea can be tested by measuring the difference in acceleration of two freely falling objects.  Since the EP is the foundation of general relativity, our most precise theory of gravity, EP tests probe the relationship between gravity and the other fundamental forces.  In addition, EP tests are sensitive to the existence of new particles that could comprise “dark matter,” the matter of unknown composition that has been observed in astronomical data but has not yet been detected in the laboratory.  In this project, the PI and team will perform an EP test by measuring the difference in acceleration between two atomic isotopes in an ultracold atom cloud.  The positions of the atoms as they fall will be read out with high precision.  The experiment will use recent advances in quantum science to reach a higher accuracy than previous EP tests, providing the most stringent searches for new gravitational physics, new long-range forces, and leading dark-matter candidates.  In addition, this program will provide opportunities for students to learn the experimental techniques of modern quantum science and will support a summer school on quantum sensing and precision measurement.
To carry out this measurement, the research team will produce an ultracold atom cloud containing two isotopes of ytterbium, an alkaline-earth-like atom.  The ytterbium atoms will be optically launched into an atomic fountain, where they will interact with a sequence of laser pulses to measure their accelerations as they freely fall.  The laser system will be designed to enable hundreds of atom-light interactions, greatly increasing acceleration sensitivity, while avoiding atom loss and unwanted forces from the light pulses themselves.  The team will characterize and control systematic effects from many sources, including gravity gradients, magnetic fields, black-body radiation, and the rotation of the Earth.  After characterizing systematic effects, the results of the differential acceleration measurement will be analyzed to discover or set constraints on new gravitational physics and dark matter candidates.
This award reflects NSF's statutory mission and has been deemed worthy of support through evaluation using the Foundation's intellectual merit and broader impacts review criteria.</t>
        </is>
      </c>
      <c r="AJ140" s="23" t="inlineStr"/>
    </row>
    <row r="141" ht="18" customHeight="1">
      <c r="A141" s="25" t="inlineStr">
        <is>
          <t>2530292</t>
        </is>
      </c>
      <c r="B141" s="26" t="inlineStr">
        <is>
          <t>Harnessing Self-Assembly for Integrating Structural Color in Additive Manufacturing</t>
        </is>
      </c>
      <c r="C141" s="25" t="inlineStr">
        <is>
          <t>Standard Grant</t>
        </is>
      </c>
      <c r="D141" s="25" t="inlineStr">
        <is>
          <t>true</t>
        </is>
      </c>
      <c r="E141" s="25" t="inlineStr">
        <is>
          <t>01/29/2026</t>
        </is>
      </c>
      <c r="F141" s="25" t="inlineStr">
        <is>
          <t>02/01/2026</t>
        </is>
      </c>
      <c r="G141" s="25" t="inlineStr">
        <is>
          <t>01/31/2029</t>
        </is>
      </c>
      <c r="H141" s="25" t="inlineStr">
        <is>
          <t>2026</t>
        </is>
      </c>
      <c r="I141" s="27" t="n">
        <v>570001</v>
      </c>
      <c r="J141" s="27" t="n">
        <v>570001</v>
      </c>
      <c r="K141" s="25" t="inlineStr">
        <is>
          <t>Jochen</t>
        </is>
      </c>
      <c r="L141" s="25" t="inlineStr">
        <is>
          <t>Mueller</t>
        </is>
      </c>
      <c r="M141" s="25" t="inlineStr">
        <is>
          <t>jochen@jhu.edu</t>
        </is>
      </c>
      <c r="N141" s="25" t="inlineStr">
        <is>
          <t>Michael A Bevan mabevan@jhu.edu</t>
        </is>
      </c>
      <c r="O141" s="25" t="inlineStr">
        <is>
          <t>Jochen Mueller</t>
        </is>
      </c>
      <c r="P141" s="25" t="inlineStr">
        <is>
          <t>Pranav Soman</t>
        </is>
      </c>
      <c r="Q141" s="25" t="inlineStr">
        <is>
          <t>psoman@nsf.gov</t>
        </is>
      </c>
      <c r="R141" s="25" t="inlineStr">
        <is>
          <t>THE JOHNS HOPKINS UNIVERSITY</t>
        </is>
      </c>
      <c r="S141" s="25" t="inlineStr">
        <is>
          <t>BALTIMORE</t>
        </is>
      </c>
      <c r="T141" s="25" t="inlineStr">
        <is>
          <t>MD</t>
        </is>
      </c>
      <c r="U141" s="25" t="inlineStr">
        <is>
          <t>212182608</t>
        </is>
      </c>
      <c r="V141" s="25" t="inlineStr">
        <is>
          <t>FTMTDMBR29C7</t>
        </is>
      </c>
      <c r="W141" s="25" t="inlineStr">
        <is>
          <t>BALTIMORE</t>
        </is>
      </c>
      <c r="X141" s="25" t="inlineStr">
        <is>
          <t>MD</t>
        </is>
      </c>
      <c r="Y141" s="25" t="inlineStr">
        <is>
          <t>ENG</t>
        </is>
      </c>
      <c r="Z141" s="25" t="inlineStr">
        <is>
          <t>CMMI</t>
        </is>
      </c>
      <c r="AA141" s="26" t="inlineStr">
        <is>
          <t>AM-Advanced Manufacturing</t>
        </is>
      </c>
      <c r="AB141" s="25" t="inlineStr">
        <is>
          <t>MATERIALS PROCESSING AND MANFG, Materials Engineering, Advanced Materials Processing, Advanced Manufacturing, UNDERGRADUATE EDUCATION, GRADUATE INVOLVEMENT, MANUFACTURING</t>
        </is>
      </c>
      <c r="AC141" s="25" t="inlineStr">
        <is>
          <t>088Y00</t>
        </is>
      </c>
      <c r="AD141" s="25" t="inlineStr">
        <is>
          <t>1467, 8021, 8025, 8037, 9178, 9179, MANU</t>
        </is>
      </c>
      <c r="AE141" s="25" t="inlineStr">
        <is>
          <t>47.041</t>
        </is>
      </c>
      <c r="AF141" s="25" t="inlineStr">
        <is>
          <t>1</t>
        </is>
      </c>
      <c r="AG141" s="25" t="inlineStr">
        <is>
          <t>01/29/2026</t>
        </is>
      </c>
      <c r="AH141" s="25" t="inlineStr">
        <is>
          <t>01/29/2026</t>
        </is>
      </c>
      <c r="AI141" s="26" t="inlineStr">
        <is>
          <t>Color is essential to communication, identification, and technology, yet most manufactured colors rely on chemical pigments and dyes that fade over time, generate waste, and require environmentally harmful processing. In contrast, many natural systems produce color through precisely organized microstructures that interact with light, creating vibrant and durable effects without chemical colorants. However, manufacturing such microstructure-based color in scalable, customizable ways remains a major challenge, particularly for additive manufacturing technologies that are widely used for rapid prototyping and distributed production. This project seeks to establish new scientific principles for producing durable, tunable color directly during additive manufacturing by controlling how microscopic material structures form on printed surfaces. Rather than depositing multiple colored materials or using chemical dyes, the approach enables color to emerge from physical structure alone. This capability would reduce material waste, simplify manufacturing systems, and expand the functionality of additively manufactured parts. The project supports national priorities by advancing manufacturing efficiency, strengthening domestic innovation in advanced materials, and enabling new capabilities for applications such as secure identification, sensing, energy-efficient displays, and adaptive surfaces. Educational and workforce development activities will train students and researchers at the intersection of manufacturing, materials science, and data-driven design, while outreach efforts will broaden participation in emerging areas of functional materials and advanced manufacturing.
The overall goal of this project is to enable programmable structural color in additively manufactured materials by directing microstructure formation during material extrusion and curing. The research is guided by the hypothesis that printable inks can be engineered so that macroscopic shape formation and microscopic particle organization occur simultaneously, allowing optical functionality to emerge during fabrication rather than as a post-processing step. Achieving this requires understanding and controlling non-equilibrium assembly processes at material interfaces under flow, external fields, and evolving material properties. The research plan integrates experiments, theory, and data-driven modeling to resolve how rheology, particle interactions, and external stimuli govern surface microstructure evolution. Specific aims are to: (1) characterize the coupled effects of material flow and curing on surface microstructure formation during extrusion; (2) determine how electrically and thermally mediated interactions can be used to direct particle organization for tunable optical response; and (3) develop real-time feedback strategies that adapt processing conditions to achieve target optical properties on demand. Success will be demonstrated through controlled reflectance across the visible spectrum, improved angular color stability, and reproducible microstructural ordering across printed surfaces. The outcomes will establish generalizable design rules for coupling additive manufacturing with directed microstructure formation, advancing the broader fields of manufacturing science, soft matter physics, and functional materials.
This award reflects NSF's statutory mission and has been deemed worthy of support through evaluation using the Foundation's intellectual merit and broader impacts review criteria.</t>
        </is>
      </c>
      <c r="AJ141" s="26" t="inlineStr"/>
    </row>
    <row r="142" ht="18" customHeight="1">
      <c r="A142" s="22" t="inlineStr">
        <is>
          <t>2618512</t>
        </is>
      </c>
      <c r="B142" s="23" t="inlineStr">
        <is>
          <t>Collaborative Research: NSF MPS/DMS-EPSRC: Stochastic Shape Processes and Inference</t>
        </is>
      </c>
      <c r="C142" s="22" t="inlineStr">
        <is>
          <t>Standard Grant</t>
        </is>
      </c>
      <c r="D142" s="22" t="inlineStr">
        <is>
          <t>true</t>
        </is>
      </c>
      <c r="E142" s="22" t="inlineStr">
        <is>
          <t>04/01/2026</t>
        </is>
      </c>
      <c r="F142" s="22" t="inlineStr">
        <is>
          <t>01/15/2026</t>
        </is>
      </c>
      <c r="G142" s="22" t="inlineStr">
        <is>
          <t>07/31/2027</t>
        </is>
      </c>
      <c r="H142" s="22" t="inlineStr">
        <is>
          <t>2026</t>
        </is>
      </c>
      <c r="I142" s="24" t="n">
        <v>153870</v>
      </c>
      <c r="J142" s="24" t="n">
        <v>200000</v>
      </c>
      <c r="K142" s="22" t="inlineStr">
        <is>
          <t>Anuj</t>
        </is>
      </c>
      <c r="L142" s="22" t="inlineStr">
        <is>
          <t>Srivastava</t>
        </is>
      </c>
      <c r="M142" s="22" t="inlineStr">
        <is>
          <t>anuj@stat.fsu.edu</t>
        </is>
      </c>
      <c r="N142" s="22" t="inlineStr"/>
      <c r="O142" s="22" t="inlineStr">
        <is>
          <t>Anuj Srivastava</t>
        </is>
      </c>
      <c r="P142" s="22" t="inlineStr">
        <is>
          <t>Yong Zeng</t>
        </is>
      </c>
      <c r="Q142" s="22" t="inlineStr">
        <is>
          <t>yzeng@nsf.gov</t>
        </is>
      </c>
      <c r="R142" s="22" t="inlineStr">
        <is>
          <t>THE JOHNS HOPKINS UNIVERSITY</t>
        </is>
      </c>
      <c r="S142" s="22" t="inlineStr">
        <is>
          <t>BALTIMORE</t>
        </is>
      </c>
      <c r="T142" s="22" t="inlineStr">
        <is>
          <t>MD</t>
        </is>
      </c>
      <c r="U142" s="22" t="inlineStr">
        <is>
          <t>212182608</t>
        </is>
      </c>
      <c r="V142" s="22" t="inlineStr">
        <is>
          <t>FTMTDMBR29C7</t>
        </is>
      </c>
      <c r="W142" s="22" t="inlineStr">
        <is>
          <t>BALTIMORE</t>
        </is>
      </c>
      <c r="X142" s="22" t="inlineStr">
        <is>
          <t>MD</t>
        </is>
      </c>
      <c r="Y142" s="22" t="inlineStr">
        <is>
          <t>MPS</t>
        </is>
      </c>
      <c r="Z142" s="22" t="inlineStr">
        <is>
          <t>DMS</t>
        </is>
      </c>
      <c r="AA142" s="23" t="inlineStr">
        <is>
          <t>STATISTICS</t>
        </is>
      </c>
      <c r="AB142" s="22" t="inlineStr">
        <is>
          <t>STATISTICS, COMPUTATIONAL GEOMETRY</t>
        </is>
      </c>
      <c r="AC142" s="22" t="inlineStr">
        <is>
          <t>126900</t>
        </is>
      </c>
      <c r="AD142" s="22" t="inlineStr">
        <is>
          <t>1269, 7929</t>
        </is>
      </c>
      <c r="AE142" s="22" t="inlineStr">
        <is>
          <t>47.049</t>
        </is>
      </c>
      <c r="AF142" s="22" t="inlineStr">
        <is>
          <t>1</t>
        </is>
      </c>
      <c r="AG142" s="22" t="inlineStr">
        <is>
          <t>04/01/2026</t>
        </is>
      </c>
      <c r="AH142" s="22" t="inlineStr">
        <is>
          <t>04/01/2026</t>
        </is>
      </c>
      <c r="AI142" s="23" t="inlineStr">
        <is>
          <t>The intimate link between form, or shape, and function is ubiquitous in science. In biology, for instance, the shapes of biological components are pivotal in understanding patterns of normal behavior and growth; a notable example is protein shape, which contributes to our understanding of protein function and classification. This project, led by a team of investigators from the USA and the UK, will develop ways of modeling how biological and other shapes change with time, using formal statistical frameworks that capture not only the changes themselves, but how these changes vary across objects and populations. This will enable the study of the link between form and function in all its variability. As example applications, the project will develop models for changes in cell morphology and topology during motility and division, and changes in human posture during various activities, facilitating the exploration of scientific questions such as how and why cell division fails, or how to improve human postures in factory tasks. These are proofs of concept, but the methods themselves will have much wider applicability. This project will thus not only progress the science of shape analysis and the specific applications studied; it will have broader downstream impacts on a range of scientific application domains, providing practitioners with general and useful tools.
While there are several approaches for representing and analyzing static shapes, encompassing curves, surfaces, and complex structures like trees and shape graphs, the statistical modeling and analysis of dynamic shapes has received limited attention. Mathematically, shapes are elements of quotient spaces of nonlinear manifolds, and shape changes can be modeled as stochastic processes, termed shape processes, on these complex spaces. The primary challenges lie in adapting classical modeling concepts to the nonlinear geometry of shape spaces and in developing efficient statistical tools for computation and inference in such very high-dimensional, nonlinear settings. The project consists of three thrust areas, dealing with combinations of discrete and continuous time, and discrete and continuous representations of shape, with a particular emphasis on the issues raised by topology changes. The key idea is to integrate spatiotemporal registration of objects and their evolution into the statistical formulation, rather than treating them as pre-processing steps. This project will specifically add to the current state-of-the-art in topic areas such as stochastic differential equations on shape manifolds, time series models for shapes, shape-based functional data analysis, and modeling and inference on infinite-dimensional shape spaces.
This award reflects NSF's statutory mission and has been deemed worthy of support through evaluation using the Foundation's intellectual merit and broader impacts review criteria.</t>
        </is>
      </c>
      <c r="AJ142" s="23" t="inlineStr"/>
    </row>
    <row r="143" ht="18" customHeight="1">
      <c r="A143" s="25" t="inlineStr">
        <is>
          <t>2609616</t>
        </is>
      </c>
      <c r="B143" s="26" t="inlineStr">
        <is>
          <t>Conference: CI PAOS: FAIROS PI Workshop</t>
        </is>
      </c>
      <c r="C143" s="25" t="inlineStr">
        <is>
          <t>Standard Grant</t>
        </is>
      </c>
      <c r="D143" s="25" t="inlineStr">
        <is>
          <t>true</t>
        </is>
      </c>
      <c r="E143" s="25" t="inlineStr">
        <is>
          <t>01/06/2026</t>
        </is>
      </c>
      <c r="F143" s="25" t="inlineStr">
        <is>
          <t>01/01/2026</t>
        </is>
      </c>
      <c r="G143" s="25" t="inlineStr">
        <is>
          <t>12/31/2026</t>
        </is>
      </c>
      <c r="H143" s="25" t="inlineStr">
        <is>
          <t>2026</t>
        </is>
      </c>
      <c r="I143" s="27" t="n">
        <v>69525</v>
      </c>
      <c r="J143" s="27" t="n">
        <v>69525</v>
      </c>
      <c r="K143" s="25" t="inlineStr">
        <is>
          <t>David</t>
        </is>
      </c>
      <c r="L143" s="25" t="inlineStr">
        <is>
          <t>Elbert</t>
        </is>
      </c>
      <c r="M143" s="25" t="inlineStr">
        <is>
          <t>elbert@jhu.edu</t>
        </is>
      </c>
      <c r="N143" s="25" t="inlineStr"/>
      <c r="O143" s="25" t="inlineStr">
        <is>
          <t>David Elbert</t>
        </is>
      </c>
      <c r="P143" s="25" t="inlineStr">
        <is>
          <t>Plato Smith</t>
        </is>
      </c>
      <c r="Q143" s="25" t="inlineStr">
        <is>
          <t>plsmith@nsf.gov</t>
        </is>
      </c>
      <c r="R143" s="25" t="inlineStr">
        <is>
          <t>THE JOHNS HOPKINS UNIVERSITY</t>
        </is>
      </c>
      <c r="S143" s="25" t="inlineStr">
        <is>
          <t>BALTIMORE</t>
        </is>
      </c>
      <c r="T143" s="25" t="inlineStr">
        <is>
          <t>MD</t>
        </is>
      </c>
      <c r="U143" s="25" t="inlineStr">
        <is>
          <t>212182608</t>
        </is>
      </c>
      <c r="V143" s="25" t="inlineStr">
        <is>
          <t>FTMTDMBR29C7</t>
        </is>
      </c>
      <c r="W143" s="25" t="inlineStr">
        <is>
          <t>BALTIMORE</t>
        </is>
      </c>
      <c r="X143" s="25" t="inlineStr">
        <is>
          <t>MD</t>
        </is>
      </c>
      <c r="Y143" s="25" t="inlineStr">
        <is>
          <t>CSE</t>
        </is>
      </c>
      <c r="Z143" s="25" t="inlineStr">
        <is>
          <t>OAC</t>
        </is>
      </c>
      <c r="AA143" s="26" t="inlineStr">
        <is>
          <t>NSF Public Access Initiative</t>
        </is>
      </c>
      <c r="AB143" s="25" t="inlineStr">
        <is>
          <t>Translational Research</t>
        </is>
      </c>
      <c r="AC143" s="25" t="inlineStr">
        <is>
          <t>741400</t>
        </is>
      </c>
      <c r="AD143" s="25" t="inlineStr">
        <is>
          <t>158Z</t>
        </is>
      </c>
      <c r="AE143" s="25" t="inlineStr">
        <is>
          <t>47.070</t>
        </is>
      </c>
      <c r="AF143" s="25" t="inlineStr">
        <is>
          <t>1</t>
        </is>
      </c>
      <c r="AG143" s="25" t="inlineStr">
        <is>
          <t>01/06/2026</t>
        </is>
      </c>
      <c r="AH143" s="25" t="inlineStr">
        <is>
          <t>01/06/2026</t>
        </is>
      </c>
      <c r="AI143" s="26" t="inlineStr">
        <is>
          <t>NSF FAIROS projects work to build and enhance coordination of researchers and other stakeholders advancing Findable, Accessible, Interoperable, and Reusable (FAIR) data principles, Open Science (OS) practices, and research data management (RDM) capabilities across distributed research communities of practice. The awards span a wide range of disciplines and stages in the date lifecycle. To broaden project impacts and enhance future directions, this workshop will allow FAIROS projects to work together to both evaluate successes and identify gaps in sustained efforts in FAIR, Open Science, and RDM activities across the US Science research landscape.
This award reflects NSF's statutory mission and has been deemed worthy of support through evaluation using the Foundation's intellectual merit and broader impacts review criteria.</t>
        </is>
      </c>
      <c r="AJ143" s="26" t="inlineStr"/>
    </row>
    <row r="144" ht="18" customHeight="1">
      <c r="A144" s="22" t="inlineStr">
        <is>
          <t>2617859</t>
        </is>
      </c>
      <c r="B144" s="23" t="inlineStr">
        <is>
          <t>RI: Small: Causal Structure Discovery from Diverse Data</t>
        </is>
      </c>
      <c r="C144" s="22" t="inlineStr">
        <is>
          <t>Standard Grant</t>
        </is>
      </c>
      <c r="D144" s="22" t="inlineStr">
        <is>
          <t>true</t>
        </is>
      </c>
      <c r="E144" s="22" t="inlineStr">
        <is>
          <t>02/19/2026</t>
        </is>
      </c>
      <c r="F144" s="22" t="inlineStr">
        <is>
          <t>10/01/2025</t>
        </is>
      </c>
      <c r="G144" s="22" t="inlineStr">
        <is>
          <t>07/31/2027</t>
        </is>
      </c>
      <c r="H144" s="22" t="inlineStr">
        <is>
          <t>2026</t>
        </is>
      </c>
      <c r="I144" s="24" t="n">
        <v>447317</v>
      </c>
      <c r="J144" s="24" t="n">
        <v>574140</v>
      </c>
      <c r="K144" s="22" t="inlineStr">
        <is>
          <t>Murat</t>
        </is>
      </c>
      <c r="L144" s="22" t="inlineStr">
        <is>
          <t>Kocaoglu</t>
        </is>
      </c>
      <c r="M144" s="22" t="inlineStr">
        <is>
          <t>mkocaoglu@purdue.edu</t>
        </is>
      </c>
      <c r="N144" s="22" t="inlineStr"/>
      <c r="O144" s="22" t="inlineStr">
        <is>
          <t>Murat Kocaoglu</t>
        </is>
      </c>
      <c r="P144" s="22" t="inlineStr">
        <is>
          <t>Jie Yang</t>
        </is>
      </c>
      <c r="Q144" s="22" t="inlineStr">
        <is>
          <t>jyang@nsf.gov</t>
        </is>
      </c>
      <c r="R144" s="22" t="inlineStr">
        <is>
          <t>THE JOHNS HOPKINS UNIVERSITY</t>
        </is>
      </c>
      <c r="S144" s="22" t="inlineStr">
        <is>
          <t>BALTIMORE</t>
        </is>
      </c>
      <c r="T144" s="22" t="inlineStr">
        <is>
          <t>MD</t>
        </is>
      </c>
      <c r="U144" s="22" t="inlineStr">
        <is>
          <t>212182608</t>
        </is>
      </c>
      <c r="V144" s="22" t="inlineStr">
        <is>
          <t>FTMTDMBR29C7</t>
        </is>
      </c>
      <c r="W144" s="22" t="inlineStr">
        <is>
          <t>BALTIMORE</t>
        </is>
      </c>
      <c r="X144" s="22" t="inlineStr">
        <is>
          <t>MD</t>
        </is>
      </c>
      <c r="Y144" s="22" t="inlineStr">
        <is>
          <t>CSE</t>
        </is>
      </c>
      <c r="Z144" s="22" t="inlineStr">
        <is>
          <t>IIS</t>
        </is>
      </c>
      <c r="AA144" s="23" t="inlineStr">
        <is>
          <t>Robust Intelligence</t>
        </is>
      </c>
      <c r="AB144" s="22" t="inlineStr">
        <is>
          <t>ROBUST INTELLIGENCE, SMALL PROJECT</t>
        </is>
      </c>
      <c r="AC144" s="22" t="inlineStr">
        <is>
          <t>749500</t>
        </is>
      </c>
      <c r="AD144" s="22" t="inlineStr">
        <is>
          <t>7495, 7923</t>
        </is>
      </c>
      <c r="AE144" s="22" t="inlineStr">
        <is>
          <t>47.070</t>
        </is>
      </c>
      <c r="AF144" s="22" t="inlineStr">
        <is>
          <t>1</t>
        </is>
      </c>
      <c r="AG144" s="22" t="inlineStr">
        <is>
          <t>02/19/2026</t>
        </is>
      </c>
      <c r="AH144" s="22" t="inlineStr">
        <is>
          <t>02/19/2026</t>
        </is>
      </c>
      <c r="AI144" s="23" t="inlineStr">
        <is>
          <t>Causal reasoning from data is critical in many domains from medicine to computer software security. Recently, the role of causality in machine learning (ML) has been understood through ML solutions' over-reliance on correlations, resulting in lack of generalizability. To tackle this problem, researchers train models with data from multiple environments to extract features that are useful across domains. Other studies suggested that the causal relations between features can be leveraged to train robust models that generalize. However, unlike these ML methods that can use any collection of datasets, most of the existing causal discovery algorithms rely heavily on the assumption that we have access to interventional data, such as those from a randomized controlled trial. In practice, the datasets from different environments may carry common causal knowledge, but not necessarily arise due to well-defined interventions. Methods to systematically extract such common causal knowledge across domains from data are currently missing. This prevents ML solutions from leveraging causal structure explicitly. The goal of this project is to address this gap by developing novel algorithms that can extract cause-effect relations from unstructured, diverse datasets. The project outcomes are expected to unlock the potential of causal reasoning for data-rich domains with access to data from different environments and are expected to significantly widen the use of causal discovery among ML practitioners. 
Specifically, in the first thrust the investigator will characterize the fundamental limits of how much causal knowledge can be extracted from diverse datasets under minimal assumptions about the data generating process. In the second thrust, with his team, he will develop causal discovery algorithms to achieve these fundamental limits from such diverse datasets. In the final thrust, the proposed discovery algorithms will be evaluated across a wide range of datasets through the performance on downstream ML tasks that they enable through the learned causal structure.
This award reflects NSF's statutory mission and has been deemed worthy of support through evaluation using the Foundation's intellectual merit and broader impacts review criteria.</t>
        </is>
      </c>
      <c r="AJ144" s="23" t="inlineStr"/>
    </row>
    <row r="145" ht="18" customHeight="1">
      <c r="A145" s="25" t="inlineStr">
        <is>
          <t>2606308</t>
        </is>
      </c>
      <c r="B145" s="26" t="inlineStr">
        <is>
          <t>CAREER: Defining structural principles for the engineering and evolution of allostery</t>
        </is>
      </c>
      <c r="C145" s="25" t="inlineStr">
        <is>
          <t>Continuing Grant</t>
        </is>
      </c>
      <c r="D145" s="25" t="inlineStr">
        <is>
          <t>true</t>
        </is>
      </c>
      <c r="E145" s="25" t="inlineStr">
        <is>
          <t>01/15/2026</t>
        </is>
      </c>
      <c r="F145" s="25" t="inlineStr">
        <is>
          <t>10/01/2025</t>
        </is>
      </c>
      <c r="G145" s="25" t="inlineStr">
        <is>
          <t>05/31/2026</t>
        </is>
      </c>
      <c r="H145" s="25" t="inlineStr">
        <is>
          <t>2026</t>
        </is>
      </c>
      <c r="I145" s="27" t="n">
        <v>35719</v>
      </c>
      <c r="J145" s="27" t="n">
        <v>1099999</v>
      </c>
      <c r="K145" s="25" t="inlineStr">
        <is>
          <t>Kimberly</t>
        </is>
      </c>
      <c r="L145" s="25" t="inlineStr">
        <is>
          <t>Reynolds</t>
        </is>
      </c>
      <c r="M145" s="25" t="inlineStr">
        <is>
          <t>kreynolds@jhu.edu</t>
        </is>
      </c>
      <c r="N145" s="25" t="inlineStr"/>
      <c r="O145" s="25" t="inlineStr">
        <is>
          <t>Kimberly A Reynolds</t>
        </is>
      </c>
      <c r="P145" s="25" t="inlineStr">
        <is>
          <t>Marcia Newcomer</t>
        </is>
      </c>
      <c r="Q145" s="25" t="inlineStr">
        <is>
          <t>mnewcome@nsf.gov</t>
        </is>
      </c>
      <c r="R145" s="25" t="inlineStr">
        <is>
          <t>THE JOHNS HOPKINS UNIVERSITY</t>
        </is>
      </c>
      <c r="S145" s="25" t="inlineStr">
        <is>
          <t>BALTIMORE</t>
        </is>
      </c>
      <c r="T145" s="25" t="inlineStr">
        <is>
          <t>MD</t>
        </is>
      </c>
      <c r="U145" s="25" t="inlineStr">
        <is>
          <t>212182608</t>
        </is>
      </c>
      <c r="V145" s="25" t="inlineStr">
        <is>
          <t>FTMTDMBR29C7</t>
        </is>
      </c>
      <c r="W145" s="25" t="inlineStr">
        <is>
          <t>BALTIMORE</t>
        </is>
      </c>
      <c r="X145" s="25" t="inlineStr">
        <is>
          <t>MD</t>
        </is>
      </c>
      <c r="Y145" s="25" t="inlineStr">
        <is>
          <t>BIO</t>
        </is>
      </c>
      <c r="Z145" s="25" t="inlineStr">
        <is>
          <t>MCB</t>
        </is>
      </c>
      <c r="AA145" s="26" t="inlineStr">
        <is>
          <t>Molecular Biophysics</t>
        </is>
      </c>
      <c r="AB145" s="25" t="inlineStr">
        <is>
          <t>CAREER-Faculty Erly Career Dev, NANOSCALE BIO CORE, UNDERGRADUATE EDUCATION, GRADUATE INVOLVEMENT</t>
        </is>
      </c>
      <c r="AC145" s="25" t="inlineStr">
        <is>
          <t>114400</t>
        </is>
      </c>
      <c r="AD145" s="25" t="inlineStr">
        <is>
          <t>1045, 7465, 9178, 9179</t>
        </is>
      </c>
      <c r="AE145" s="25" t="inlineStr">
        <is>
          <t>47.074</t>
        </is>
      </c>
      <c r="AF145" s="25" t="inlineStr">
        <is>
          <t>1</t>
        </is>
      </c>
      <c r="AG145" s="25" t="inlineStr">
        <is>
          <t>01/15/2026</t>
        </is>
      </c>
      <c r="AH145" s="25" t="inlineStr">
        <is>
          <t>01/15/2026</t>
        </is>
      </c>
      <c r="AI145" s="26" t="inlineStr">
        <is>
          <t>Proteins are nanometer-scale molecules whose composition and shape are specified by genes. Inside the cell, they catalyze chemical reactions, perform mechanical work, and assemble into larger structures. The collective action of very many proteins drives cell growth, division, and movement. Proteins are often controlled by external signals – for example, adding a nutrient to the cellular environment might turn a protein “on” or “off” by binding to the protein and altering its shape or dynamics. Such allosteric control provides a basic mechanism for cells to sense and respond to the environment and is a building block for intracellular communication. A complete understanding of how allosteric control works, and how it is encoded in the genetic sequence of proteins, would allow biologists to engineer proteins that respond to artificial cues.  In this project, the PI’s research team will use computation and experiment to understand how allosteric regulation in a protein is optimized, define physical properties distinguishing allosteric surfaces, and construct a set of synthetic allosteric switches that enable control of cell growth rate with light. This work will establish a practical, general toolkit for engineering allosteric regulation, and provide fundamental insights into how natural allosteric regulation might evolve. This proposal will train graduate, undergraduate, and bio-oriented high school students to improve their skills in basic programming and research experimentation to contribute STEM workforce development.
Though allostery is a fundamental and common feature of proteins, how it is encoded by protein sequence and structure remains unclear. For example, it is unknown if the pattern and number of mutations influencing allostery is sparse or abundant, or if the mutations with the biggest effect on regulation are localized to the allosteric site or distributed throughout the structure. This project will address these fundamental questions by using deep mutational scanning to characterize the complete set of mutations than can influence allosteric regulation in a synthetic allosteric switch. This research will also use new approaches in NMR spectroscopy to better understand how protein interactions with water might determine (and identify) allosteric surfaces. The hypothesis is that allosteric surfaces are marked by slowed hydration dynamics. If so, this would suggest that allosteric sites are entropically preferred sites for the evolution of new protein and ligand binding interactions. Moreover, this would open new avenues for the discovery of allosterically acting pharmaceuticals. Finally, the knowledge gained through these mutational and structural studies will be applied to generate a series of broad dynamic range allosteric switches for the light-based control of cell growth. These switches will provide a practical toolkit for dynamically modulating cell growth, with potential applications in the study of bacterial community dynamics, eukaryotic cell proliferation, and engineering live biotherapeutics.
This award reflects NSF's statutory mission and has been deemed worthy of support through evaluation using the Foundation's intellectual merit and broader impacts review criteria.</t>
        </is>
      </c>
      <c r="AJ145" s="26" t="inlineStr"/>
    </row>
    <row r="146" ht="18" customHeight="1">
      <c r="A146" s="22" t="inlineStr">
        <is>
          <t>2617987</t>
        </is>
      </c>
      <c r="B146" s="23" t="inlineStr">
        <is>
          <t>CAREER: Optimism in Causal Reasoning via Information-theoretic Methods</t>
        </is>
      </c>
      <c r="C146" s="22" t="inlineStr">
        <is>
          <t>Continuing Grant</t>
        </is>
      </c>
      <c r="D146" s="22" t="inlineStr">
        <is>
          <t>true</t>
        </is>
      </c>
      <c r="E146" s="22" t="inlineStr">
        <is>
          <t>03/03/2026</t>
        </is>
      </c>
      <c r="F146" s="22" t="inlineStr">
        <is>
          <t>10/01/2025</t>
        </is>
      </c>
      <c r="G146" s="22" t="inlineStr">
        <is>
          <t>12/31/2027</t>
        </is>
      </c>
      <c r="H146" s="22" t="inlineStr">
        <is>
          <t>2026</t>
        </is>
      </c>
      <c r="I146" s="24" t="n">
        <v>206849</v>
      </c>
      <c r="J146" s="24" t="n">
        <v>599996</v>
      </c>
      <c r="K146" s="22" t="inlineStr">
        <is>
          <t>Murat</t>
        </is>
      </c>
      <c r="L146" s="22" t="inlineStr">
        <is>
          <t>Kocaoglu</t>
        </is>
      </c>
      <c r="M146" s="22" t="inlineStr">
        <is>
          <t>mkocaoglu@purdue.edu</t>
        </is>
      </c>
      <c r="N146" s="22" t="inlineStr"/>
      <c r="O146" s="22" t="inlineStr">
        <is>
          <t>Murat Kocaoglu</t>
        </is>
      </c>
      <c r="P146" s="22" t="inlineStr">
        <is>
          <t>Phillip Regalia</t>
        </is>
      </c>
      <c r="Q146" s="22" t="inlineStr">
        <is>
          <t>pregalia@nsf.gov</t>
        </is>
      </c>
      <c r="R146" s="22" t="inlineStr">
        <is>
          <t>THE JOHNS HOPKINS UNIVERSITY</t>
        </is>
      </c>
      <c r="S146" s="22" t="inlineStr">
        <is>
          <t>BALTIMORE</t>
        </is>
      </c>
      <c r="T146" s="22" t="inlineStr">
        <is>
          <t>MD</t>
        </is>
      </c>
      <c r="U146" s="22" t="inlineStr">
        <is>
          <t>212182608</t>
        </is>
      </c>
      <c r="V146" s="22" t="inlineStr">
        <is>
          <t>FTMTDMBR29C7</t>
        </is>
      </c>
      <c r="W146" s="22" t="inlineStr">
        <is>
          <t>BALTIMORE</t>
        </is>
      </c>
      <c r="X146" s="22" t="inlineStr">
        <is>
          <t>MD</t>
        </is>
      </c>
      <c r="Y146" s="22" t="inlineStr">
        <is>
          <t>CSE</t>
        </is>
      </c>
      <c r="Z146" s="22" t="inlineStr">
        <is>
          <t>CCF</t>
        </is>
      </c>
      <c r="AA146" s="23" t="inlineStr">
        <is>
          <t>Comm &amp; Information Foundations</t>
        </is>
      </c>
      <c r="AB146" s="22" t="inlineStr">
        <is>
          <t>CAREER-Faculty Erly Career Dev, NETWORK CODING AND INFO THEORY</t>
        </is>
      </c>
      <c r="AC146" s="22" t="inlineStr">
        <is>
          <t>779700</t>
        </is>
      </c>
      <c r="AD146" s="22" t="inlineStr">
        <is>
          <t>1045, 7937</t>
        </is>
      </c>
      <c r="AE146" s="22" t="inlineStr">
        <is>
          <t>47.070</t>
        </is>
      </c>
      <c r="AF146" s="22" t="inlineStr">
        <is>
          <t>1</t>
        </is>
      </c>
      <c r="AG146" s="22" t="inlineStr">
        <is>
          <t>03/03/2026</t>
        </is>
      </c>
      <c r="AH146" s="22" t="inlineStr">
        <is>
          <t>03/03/2026</t>
        </is>
      </c>
      <c r="AI146" s="23" t="inlineStr">
        <is>
          <t>Reasoning about the causes and effects of phenomena is a fundamental problem in the development of artificial intelligence. Causal reasoning from data also plays a key role in several disciplines, from engineering and computer science to medical research. A formal mathematical theory of probabilistic causation has been developed in the last few decades by Pearl (1995). Several algorithms that illustrate how much qualitative and quantitative causal knowledge can be extracted from data under well-defined assumptions have been proposed within this formalism. These algorithms employ a worst-case view: if the answer to a causal question is not unique, they return that the result is not identifiable. However, such an approach is unsuitable for many real-world systems that violate these crucial assumptions to varying degrees. The investigator argues that it is possible to significantly expand the applicability of causality theory by identifying simple causal explanations in the data that are unlikely to occur by chance. This project will extend the theory of causation to a much wider set of real-world instances by enabling causal reasoning for most models rather than in the worst case.
To expand the scope of the state-of-the-art causal reasoning formalism, the investigator will develop novel algorithms that identify information-theoretically simple explanations of the underlying causal system from data. The first thrust seeks to develop methods to learn causal relations from observational data via an information-theoretic interpretation of Occam’s razor based on the entropy of the causal system. A second thrust will analyze how information-theoretically simple explanations can help approximately compute causal effects that are not identifiable in the worst case. A third thrust will leverage the results of the first two thrusts to develop experimental design algorithms for efficiently learning causal structures and causal effects via interventions.
This award reflects NSF's statutory mission and has been deemed worthy of support through evaluation using the Foundation's intellectual merit and broader impacts review criteria.</t>
        </is>
      </c>
      <c r="AJ146" s="23" t="inlineStr"/>
    </row>
    <row r="147" ht="18" customHeight="1">
      <c r="A147" s="25" t="inlineStr">
        <is>
          <t>2618863</t>
        </is>
      </c>
      <c r="B147" s="26" t="inlineStr">
        <is>
          <t>Collaborative Research: SaTC: CORE: Small: Empathy-Based Privacy Education and Design through Synthetic Persona Data Generation</t>
        </is>
      </c>
      <c r="C147" s="25" t="inlineStr">
        <is>
          <t>Standard Grant</t>
        </is>
      </c>
      <c r="D147" s="25" t="inlineStr">
        <is>
          <t>true</t>
        </is>
      </c>
      <c r="E147" s="25" t="inlineStr">
        <is>
          <t>02/20/2026</t>
        </is>
      </c>
      <c r="F147" s="25" t="inlineStr">
        <is>
          <t>10/01/2025</t>
        </is>
      </c>
      <c r="G147" s="25" t="inlineStr">
        <is>
          <t>11/30/2027</t>
        </is>
      </c>
      <c r="H147" s="25" t="inlineStr">
        <is>
          <t>2026</t>
        </is>
      </c>
      <c r="I147" s="27" t="n">
        <v>134499</v>
      </c>
      <c r="J147" s="27" t="n">
        <v>199990</v>
      </c>
      <c r="K147" s="25" t="inlineStr">
        <is>
          <t>Yaxing</t>
        </is>
      </c>
      <c r="L147" s="25" t="inlineStr">
        <is>
          <t>Yao</t>
        </is>
      </c>
      <c r="M147" s="25" t="inlineStr">
        <is>
          <t>yaxing@jhu.edu</t>
        </is>
      </c>
      <c r="N147" s="25" t="inlineStr"/>
      <c r="O147" s="25" t="inlineStr">
        <is>
          <t>Yaxing Yao</t>
        </is>
      </c>
      <c r="P147" s="25" t="inlineStr">
        <is>
          <t>Jason D. Borenstein</t>
        </is>
      </c>
      <c r="Q147" s="25" t="inlineStr">
        <is>
          <t>jborenst@nsf.gov</t>
        </is>
      </c>
      <c r="R147" s="25" t="inlineStr">
        <is>
          <t>THE JOHNS HOPKINS UNIVERSITY</t>
        </is>
      </c>
      <c r="S147" s="25" t="inlineStr">
        <is>
          <t>BALTIMORE</t>
        </is>
      </c>
      <c r="T147" s="25" t="inlineStr">
        <is>
          <t>MD</t>
        </is>
      </c>
      <c r="U147" s="25" t="inlineStr">
        <is>
          <t>212182608</t>
        </is>
      </c>
      <c r="V147" s="25" t="inlineStr">
        <is>
          <t>FTMTDMBR29C7</t>
        </is>
      </c>
      <c r="W147" s="25" t="inlineStr">
        <is>
          <t>BALTIMORE</t>
        </is>
      </c>
      <c r="X147" s="25" t="inlineStr">
        <is>
          <t>MD</t>
        </is>
      </c>
      <c r="Y147" s="25" t="inlineStr">
        <is>
          <t>CSE</t>
        </is>
      </c>
      <c r="Z147" s="25" t="inlineStr">
        <is>
          <t>CNS</t>
        </is>
      </c>
      <c r="AA147" s="26" t="inlineStr">
        <is>
          <t>Secure &amp;Trustworthy Cyberspace</t>
        </is>
      </c>
      <c r="AB147" s="25" t="inlineStr">
        <is>
          <t>SaTC: Secure and Trustworthy Cyberspace, CNCI, SMALL PROJECT</t>
        </is>
      </c>
      <c r="AC147" s="25" t="inlineStr">
        <is>
          <t>806000</t>
        </is>
      </c>
      <c r="AD147" s="25" t="inlineStr">
        <is>
          <t>025Z, 7434, 7923</t>
        </is>
      </c>
      <c r="AE147" s="25" t="inlineStr">
        <is>
          <t>47.070, 47.075</t>
        </is>
      </c>
      <c r="AF147" s="25" t="inlineStr">
        <is>
          <t>1</t>
        </is>
      </c>
      <c r="AG147" s="25" t="inlineStr">
        <is>
          <t>02/20/2026</t>
        </is>
      </c>
      <c r="AH147" s="25" t="inlineStr">
        <is>
          <t>02/20/2026</t>
        </is>
      </c>
      <c r="AI147" s="26" t="inlineStr">
        <is>
          <t>Privacy is often perceived as an abstract concept by both internet users and software developers. When users are engaged in online activities, it is difficult for them to make informed decisions about their personal data due to the challenges they face in understanding and experiencing the privacy implications of their behaviors in advance. Similarly, many software developers lack the ability to comprehend how the data practices of their applications may impact user privacy and to implement proper data practices that conform to users’ privacy expectations. This project is tackling this problem by developing a new, empathy-based framework to enhance privacy education and design. The project team is using generative AI to create synthetic personas with AI-generated personal data. Using the personas, the team is designing, creating, and studying new interactive sandboxes and developer tools that allow individuals to empathize with these personas, leading to a more concrete and situated understanding of privacy. This understanding, in turn, fosters positive privacy-oriented behaviors among internet users and privacy-responsible software development practices among software developers.
To enhance users’ privacy knowledge and developers’ privacy-responsible software development practices, the project is systematically studying the mechanisms and applications of empathy invocation in the context of privacy. The goal is to develop metrics, guidelines, and conceptual frameworks for empathy-based approaches that foster privacy and security in cyberspace. Using these findings, the project team is employing user-centered design methods to develop: 1) systems that invoke empathy to improve users’ privacy literacy and decision-making; and 2) empathy-based developer tools that support developers to proactively identify and address diverse privacy needs of users at the early stages of the development life cycle. These systems are deployed in outreach events to promote privacy literacy in under-resourced user and developer communities. Additionally, they are incorporated into college-level privacy literacy educational modules to support hands-on experiential learning.
This award reflects NSF's statutory mission and has been deemed worthy of support through evaluation using the Foundation's intellectual merit and broader impacts review criteria.</t>
        </is>
      </c>
      <c r="AJ147" s="26" t="inlineStr"/>
    </row>
    <row r="148" ht="18" customHeight="1">
      <c r="A148" s="22" t="inlineStr">
        <is>
          <t>2615033</t>
        </is>
      </c>
      <c r="B148" s="23" t="inlineStr">
        <is>
          <t>Collaborative Research: SaTC: CORE: Small: Supporting Privacy Negotiation Among Multiple Stakeholders in Smart Environments</t>
        </is>
      </c>
      <c r="C148" s="22" t="inlineStr">
        <is>
          <t>Standard Grant</t>
        </is>
      </c>
      <c r="D148" s="22" t="inlineStr">
        <is>
          <t>true</t>
        </is>
      </c>
      <c r="E148" s="22" t="inlineStr">
        <is>
          <t>02/03/2026</t>
        </is>
      </c>
      <c r="F148" s="22" t="inlineStr">
        <is>
          <t>10/01/2025</t>
        </is>
      </c>
      <c r="G148" s="22" t="inlineStr">
        <is>
          <t>08/31/2026</t>
        </is>
      </c>
      <c r="H148" s="22" t="inlineStr">
        <is>
          <t>2026</t>
        </is>
      </c>
      <c r="I148" s="24" t="n">
        <v>90013</v>
      </c>
      <c r="J148" s="24" t="n">
        <v>163132</v>
      </c>
      <c r="K148" s="22" t="inlineStr">
        <is>
          <t>Yaxing</t>
        </is>
      </c>
      <c r="L148" s="22" t="inlineStr">
        <is>
          <t>Yao</t>
        </is>
      </c>
      <c r="M148" s="22" t="inlineStr">
        <is>
          <t>yaxing@jhu.edu</t>
        </is>
      </c>
      <c r="N148" s="22" t="inlineStr"/>
      <c r="O148" s="22" t="inlineStr">
        <is>
          <t>Yaxing Yao</t>
        </is>
      </c>
      <c r="P148" s="22" t="inlineStr">
        <is>
          <t>Jason D. Borenstein</t>
        </is>
      </c>
      <c r="Q148" s="22" t="inlineStr">
        <is>
          <t>jborenst@nsf.gov</t>
        </is>
      </c>
      <c r="R148" s="22" t="inlineStr">
        <is>
          <t>THE JOHNS HOPKINS UNIVERSITY</t>
        </is>
      </c>
      <c r="S148" s="22" t="inlineStr">
        <is>
          <t>BALTIMORE</t>
        </is>
      </c>
      <c r="T148" s="22" t="inlineStr">
        <is>
          <t>MD</t>
        </is>
      </c>
      <c r="U148" s="22" t="inlineStr">
        <is>
          <t>212182608</t>
        </is>
      </c>
      <c r="V148" s="22" t="inlineStr">
        <is>
          <t>FTMTDMBR29C7</t>
        </is>
      </c>
      <c r="W148" s="22" t="inlineStr"/>
      <c r="X148" s="22" t="inlineStr"/>
      <c r="Y148" s="22" t="inlineStr">
        <is>
          <t>CSE</t>
        </is>
      </c>
      <c r="Z148" s="22" t="inlineStr">
        <is>
          <t>CNS</t>
        </is>
      </c>
      <c r="AA148" s="23" t="inlineStr">
        <is>
          <t>Secure &amp;Trustworthy Cyberspace</t>
        </is>
      </c>
      <c r="AB148" s="22" t="inlineStr">
        <is>
          <t>SaTC: Secure and Trustworthy Cyberspace, SMALL PROJECT</t>
        </is>
      </c>
      <c r="AC148" s="22" t="inlineStr">
        <is>
          <t>806000</t>
        </is>
      </c>
      <c r="AD148" s="22" t="inlineStr">
        <is>
          <t>025Z, 7923</t>
        </is>
      </c>
      <c r="AE148" s="22" t="inlineStr">
        <is>
          <t>47.070</t>
        </is>
      </c>
      <c r="AF148" s="22" t="inlineStr">
        <is>
          <t>1</t>
        </is>
      </c>
      <c r="AG148" s="22" t="inlineStr">
        <is>
          <t>02/03/2026</t>
        </is>
      </c>
      <c r="AH148" s="22" t="inlineStr">
        <is>
          <t>02/03/2026</t>
        </is>
      </c>
      <c r="AI148" s="23" t="inlineStr">
        <is>
          <t>Internet-of-Things (IoT) devices are increasingly used in shared spaces (e.g., homes, apartments, schools, hospitals, workplaces, and cities), turning these spaces into smart environments. Different stakeholders in these environments, including both direct users of smart devices and non-users such as visitors or bystanders, have unique privacy needs and expectations. Although prior research shows evidence of conflicts among stakeholders, there has been less investigation regarding how stakeholders resolve such conflicts and negotiate their privacy options. This interdisciplinary project is investigating different stakeholders’ privacy negotiation behaviors in smart environments by designing, developing, and deploying an interactive system to collect people’s real-world privacy negotiation behaviors. The project is contributing solutions that help people manage and negotiate their privacy in various smart environments, especially when their privacy needs conflict with others’. The results will also inform privacy negotiations within other emerging technologies (e.g., virtual reality and the metaverse).
This project moves beyond the lab setting to investigate and support stakeholders’ privacy negotiation behaviors in real-world smart environments. To do this, the project team is identifying contextual factors that lead to privacy concerns across multiple stakeholder groups and complex smart environments through the lens of privacy as “contextual integrity”. It is capturing stakeholders’ privacy negotiation behaviors in the real world by iteratively designing and implementing a tool that collects data on smart environmental contexts and privacy negotiation behaviors in real-world smart environments. Finally, it is developing a data-driven approach to support privacy negotiations in the real-world and evaluating its long-term impact on different stakeholder groups through field studies. The team is facilitating the future extension of this work to other new technologies by publicly sharing the anonymized dataset collected using the developed system, features of the project’s machine learning models, and a working prototype of the system.
This award reflects NSF's statutory mission and has been deemed worthy of support through evaluation using the Foundation's intellectual merit and broader impacts review criteria.</t>
        </is>
      </c>
      <c r="AJ148" s="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showGridLines="0"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22" customWidth="1" min="4" max="4"/>
    <col width="18" customWidth="1" min="5" max="5"/>
    <col width="18" customWidth="1" min="6" max="6"/>
    <col width="14" customWidth="1" min="7" max="7"/>
    <col width="14" customWidth="1" min="8" max="8"/>
    <col width="12" customWidth="1" min="9" max="9"/>
    <col width="12" customWidth="1" min="10" max="10"/>
    <col width="35" customWidth="1" min="11" max="11"/>
    <col width="55" customWidth="1" min="12" max="12"/>
    <col width="12" customWidth="1" min="13" max="13"/>
    <col width="12" customWidth="1" min="14" max="14"/>
  </cols>
  <sheetData>
    <row r="1" ht="30" customHeight="1">
      <c r="A1" s="21" t="inlineStr">
        <is>
          <t>Rank</t>
        </is>
      </c>
      <c r="B1" s="21" t="inlineStr">
        <is>
          <t>Award ID</t>
        </is>
      </c>
      <c r="C1" s="21" t="inlineStr">
        <is>
          <t>Award Year</t>
        </is>
      </c>
      <c r="D1" s="21" t="inlineStr">
        <is>
          <t>Transaction Type</t>
        </is>
      </c>
      <c r="E1" s="21" t="inlineStr">
        <is>
          <t>Funds Obligated ($)</t>
        </is>
      </c>
      <c r="F1" s="21" t="inlineStr">
        <is>
          <t>Estimated Total ($)</t>
        </is>
      </c>
      <c r="G1" s="21" t="inlineStr">
        <is>
          <t>PI First Name</t>
        </is>
      </c>
      <c r="H1" s="21" t="inlineStr">
        <is>
          <t>PI Last Name</t>
        </is>
      </c>
      <c r="I1" s="21" t="inlineStr">
        <is>
          <t>Directorate</t>
        </is>
      </c>
      <c r="J1" s="21" t="inlineStr">
        <is>
          <t>Division</t>
        </is>
      </c>
      <c r="K1" s="21" t="inlineStr">
        <is>
          <t>Fund Program</t>
        </is>
      </c>
      <c r="L1" s="21" t="inlineStr">
        <is>
          <t>Title</t>
        </is>
      </c>
      <c r="M1" s="21" t="inlineStr">
        <is>
          <t>Start Date</t>
        </is>
      </c>
      <c r="N1" s="21" t="inlineStr">
        <is>
          <t>End Date</t>
        </is>
      </c>
    </row>
    <row r="2" ht="35" customHeight="1">
      <c r="A2" s="28" t="n">
        <v>1</v>
      </c>
      <c r="B2" s="28" t="inlineStr">
        <is>
          <t>2511158</t>
        </is>
      </c>
      <c r="C2" s="28" t="inlineStr">
        <is>
          <t>2025</t>
        </is>
      </c>
      <c r="D2" s="29" t="inlineStr">
        <is>
          <t>Standard Grant</t>
        </is>
      </c>
      <c r="E2" s="30" t="n">
        <v>3540000</v>
      </c>
      <c r="F2" s="30" t="n">
        <v>3540000</v>
      </c>
      <c r="G2" s="28" t="inlineStr">
        <is>
          <t>Michael</t>
        </is>
      </c>
      <c r="H2" s="28" t="inlineStr">
        <is>
          <t>Tsapatsis</t>
        </is>
      </c>
      <c r="I2" s="28" t="inlineStr">
        <is>
          <t>ENG</t>
        </is>
      </c>
      <c r="J2" s="28" t="inlineStr">
        <is>
          <t>CBET</t>
        </is>
      </c>
      <c r="K2" s="31" t="inlineStr">
        <is>
          <t>Major Research Instrumentation</t>
        </is>
      </c>
      <c r="L2" s="31" t="inlineStr">
        <is>
          <t>Equipment: MRI: Track 2 Acquisition of an Extreme Ultra Violet (EUV) Resist Flood Exposure Tool</t>
        </is>
      </c>
      <c r="M2" s="28" t="inlineStr">
        <is>
          <t>09/01/2025</t>
        </is>
      </c>
      <c r="N2" s="28" t="inlineStr">
        <is>
          <t>08/31/2028</t>
        </is>
      </c>
    </row>
    <row r="3" ht="35" customHeight="1">
      <c r="A3" s="32" t="n">
        <v>2</v>
      </c>
      <c r="B3" s="32" t="inlineStr">
        <is>
          <t>2421670</t>
        </is>
      </c>
      <c r="C3" s="32" t="inlineStr">
        <is>
          <t>2024</t>
        </is>
      </c>
      <c r="D3" s="33" t="inlineStr">
        <is>
          <t>Standard Grant</t>
        </is>
      </c>
      <c r="E3" s="34" t="n">
        <v>3000000</v>
      </c>
      <c r="F3" s="34" t="n">
        <v>3000000</v>
      </c>
      <c r="G3" s="32" t="inlineStr">
        <is>
          <t>Yun</t>
        </is>
      </c>
      <c r="H3" s="32" t="inlineStr">
        <is>
          <t>Chen</t>
        </is>
      </c>
      <c r="I3" s="32" t="inlineStr">
        <is>
          <t>ENG</t>
        </is>
      </c>
      <c r="J3" s="32" t="inlineStr">
        <is>
          <t>EFMA</t>
        </is>
      </c>
      <c r="K3" s="35" t="inlineStr">
        <is>
          <t>EFRI Research Projects</t>
        </is>
      </c>
      <c r="L3" s="35" t="inlineStr">
        <is>
          <t>TRAILBLAZER: Quantum-Enabled Dial (QED) to Control Biochemical Reactions and Cell Behaviors</t>
        </is>
      </c>
      <c r="M3" s="32" t="inlineStr">
        <is>
          <t>01/01/2025</t>
        </is>
      </c>
      <c r="N3" s="32" t="inlineStr">
        <is>
          <t>12/31/2027</t>
        </is>
      </c>
    </row>
    <row r="4" ht="35" customHeight="1">
      <c r="A4" s="28" t="n">
        <v>3</v>
      </c>
      <c r="B4" s="28" t="inlineStr">
        <is>
          <t>2442928</t>
        </is>
      </c>
      <c r="C4" s="28" t="inlineStr">
        <is>
          <t>2025</t>
        </is>
      </c>
      <c r="D4" s="29" t="inlineStr">
        <is>
          <t>Continuing Grant</t>
        </is>
      </c>
      <c r="E4" s="30" t="n">
        <v>2831003</v>
      </c>
      <c r="F4" s="30" t="n">
        <v>4198773</v>
      </c>
      <c r="G4" s="28" t="inlineStr">
        <is>
          <t>Tobias</t>
        </is>
      </c>
      <c r="H4" s="28" t="inlineStr">
        <is>
          <t>Marriage</t>
        </is>
      </c>
      <c r="I4" s="28" t="inlineStr">
        <is>
          <t>MPS</t>
        </is>
      </c>
      <c r="J4" s="28" t="inlineStr">
        <is>
          <t>AST</t>
        </is>
      </c>
      <c r="K4" s="31" t="inlineStr">
        <is>
          <t>MID-SCALE INSTRUMENTATION</t>
        </is>
      </c>
      <c r="L4" s="31" t="inlineStr">
        <is>
          <t>Measuring the Largest Angular-Scale CMB Polarization from a Ground-based Surveyor</t>
        </is>
      </c>
      <c r="M4" s="28" t="inlineStr">
        <is>
          <t>10/01/2025</t>
        </is>
      </c>
      <c r="N4" s="28" t="inlineStr">
        <is>
          <t>09/30/2028</t>
        </is>
      </c>
    </row>
    <row r="5" ht="35" customHeight="1">
      <c r="A5" s="32" t="n">
        <v>4</v>
      </c>
      <c r="B5" s="32" t="inlineStr">
        <is>
          <t>2346004</t>
        </is>
      </c>
      <c r="C5" s="32" t="inlineStr">
        <is>
          <t>2024</t>
        </is>
      </c>
      <c r="D5" s="33" t="inlineStr">
        <is>
          <t>Standard Grant</t>
        </is>
      </c>
      <c r="E5" s="34" t="n">
        <v>2475715</v>
      </c>
      <c r="F5" s="34" t="n">
        <v>2475715</v>
      </c>
      <c r="G5" s="32" t="inlineStr">
        <is>
          <t>Paulette</t>
        </is>
      </c>
      <c r="H5" s="32" t="inlineStr">
        <is>
          <t>Clancy</t>
        </is>
      </c>
      <c r="I5" s="32" t="inlineStr">
        <is>
          <t>EDU</t>
        </is>
      </c>
      <c r="J5" s="32" t="inlineStr">
        <is>
          <t>DGE</t>
        </is>
      </c>
      <c r="K5" s="35" t="inlineStr">
        <is>
          <t>NSF Research Traineeship (NRT)</t>
        </is>
      </c>
      <c r="L5" s="35" t="inlineStr">
        <is>
          <t>Collaborative Research: NRT-Al: AI-driven next-generation semiconductor materials and devices</t>
        </is>
      </c>
      <c r="M5" s="32" t="inlineStr">
        <is>
          <t>09/01/2024</t>
        </is>
      </c>
      <c r="N5" s="32" t="inlineStr">
        <is>
          <t>08/31/2028</t>
        </is>
      </c>
    </row>
    <row r="6" ht="35" customHeight="1">
      <c r="A6" s="28" t="n">
        <v>5</v>
      </c>
      <c r="B6" s="28" t="inlineStr">
        <is>
          <t>2515214</t>
        </is>
      </c>
      <c r="C6" s="28" t="inlineStr">
        <is>
          <t>2025</t>
        </is>
      </c>
      <c r="D6" s="29" t="inlineStr">
        <is>
          <t>Standard Grant</t>
        </is>
      </c>
      <c r="E6" s="30" t="n">
        <v>1999508</v>
      </c>
      <c r="F6" s="30" t="n">
        <v>1999508</v>
      </c>
      <c r="G6" s="28" t="inlineStr">
        <is>
          <t>Thomas</t>
        </is>
      </c>
      <c r="H6" s="28" t="inlineStr">
        <is>
          <t>Hartung</t>
        </is>
      </c>
      <c r="I6" s="28" t="inlineStr">
        <is>
          <t>ENG</t>
        </is>
      </c>
      <c r="J6" s="28" t="inlineStr">
        <is>
          <t>EFMA</t>
        </is>
      </c>
      <c r="K6" s="31" t="inlineStr">
        <is>
          <t>EFRI Research Projects</t>
        </is>
      </c>
      <c r="L6" s="31" t="inlineStr">
        <is>
          <t>EFRI BEGIN OI: Improving Learning of Embodied Organoid Intelligence Through Reward-Based Training</t>
        </is>
      </c>
      <c r="M6" s="28" t="inlineStr">
        <is>
          <t>08/01/2025</t>
        </is>
      </c>
      <c r="N6" s="28" t="inlineStr">
        <is>
          <t>07/31/2029</t>
        </is>
      </c>
    </row>
    <row r="7" ht="35" customHeight="1">
      <c r="A7" s="32" t="n">
        <v>6</v>
      </c>
      <c r="B7" s="32" t="inlineStr">
        <is>
          <t>2530651</t>
        </is>
      </c>
      <c r="C7" s="32" t="inlineStr">
        <is>
          <t>2025</t>
        </is>
      </c>
      <c r="D7" s="33" t="inlineStr">
        <is>
          <t>Standard Grant</t>
        </is>
      </c>
      <c r="E7" s="34" t="n">
        <v>1399593</v>
      </c>
      <c r="F7" s="34" t="n">
        <v>1399593</v>
      </c>
      <c r="G7" s="32" t="inlineStr">
        <is>
          <t>Gregory</t>
        </is>
      </c>
      <c r="H7" s="32" t="inlineStr">
        <is>
          <t>Bowman</t>
        </is>
      </c>
      <c r="I7" s="32" t="inlineStr">
        <is>
          <t>BIO</t>
        </is>
      </c>
      <c r="J7" s="32" t="inlineStr">
        <is>
          <t>MCB</t>
        </is>
      </c>
      <c r="K7" s="35" t="inlineStr">
        <is>
          <t>Chemistry of Life Processes, Genetic Mechanisms, Molecular Biophysics</t>
        </is>
      </c>
      <c r="L7" s="35" t="inlineStr">
        <is>
          <t>Defining Barriers to Nucleosome Mobility through Single-Molecule Manipulation</t>
        </is>
      </c>
      <c r="M7" s="32" t="inlineStr">
        <is>
          <t>09/01/2025</t>
        </is>
      </c>
      <c r="N7" s="32" t="inlineStr">
        <is>
          <t>08/31/2029</t>
        </is>
      </c>
    </row>
    <row r="8" ht="35" customHeight="1">
      <c r="A8" s="28" t="n">
        <v>7</v>
      </c>
      <c r="B8" s="28" t="inlineStr">
        <is>
          <t>2427621</t>
        </is>
      </c>
      <c r="C8" s="28" t="inlineStr">
        <is>
          <t>2024</t>
        </is>
      </c>
      <c r="D8" s="29" t="inlineStr">
        <is>
          <t>Standard Grant</t>
        </is>
      </c>
      <c r="E8" s="30" t="n">
        <v>1320970</v>
      </c>
      <c r="F8" s="30" t="n">
        <v>1320970</v>
      </c>
      <c r="G8" s="28" t="inlineStr">
        <is>
          <t>Karen</t>
        </is>
      </c>
      <c r="H8" s="28" t="inlineStr">
        <is>
          <t>Fleming</t>
        </is>
      </c>
      <c r="I8" s="28" t="inlineStr">
        <is>
          <t>BIO</t>
        </is>
      </c>
      <c r="J8" s="28" t="inlineStr">
        <is>
          <t>MCB</t>
        </is>
      </c>
      <c r="K8" s="31" t="inlineStr">
        <is>
          <t>Molecular Biophysics, Cross-BIO Activities</t>
        </is>
      </c>
      <c r="L8" s="31" t="inlineStr">
        <is>
          <t>Periplasmic Chaperone Network Organization and Mechanism</t>
        </is>
      </c>
      <c r="M8" s="28" t="inlineStr">
        <is>
          <t>10/01/2024</t>
        </is>
      </c>
      <c r="N8" s="28" t="inlineStr">
        <is>
          <t>09/30/2028</t>
        </is>
      </c>
    </row>
    <row r="9" ht="35" customHeight="1">
      <c r="A9" s="32" t="n">
        <v>8</v>
      </c>
      <c r="B9" s="32" t="inlineStr">
        <is>
          <t>2412361</t>
        </is>
      </c>
      <c r="C9" s="32" t="inlineStr">
        <is>
          <t>2024</t>
        </is>
      </c>
      <c r="D9" s="33" t="inlineStr">
        <is>
          <t>Continuing Grant</t>
        </is>
      </c>
      <c r="E9" s="34" t="n">
        <v>1310000</v>
      </c>
      <c r="F9" s="34" t="n">
        <v>1310000</v>
      </c>
      <c r="G9" s="32" t="inlineStr">
        <is>
          <t>Marc</t>
        </is>
      </c>
      <c r="H9" s="32" t="inlineStr">
        <is>
          <t>Kamionkowski</t>
        </is>
      </c>
      <c r="I9" s="32" t="inlineStr">
        <is>
          <t>MPS</t>
        </is>
      </c>
      <c r="J9" s="32" t="inlineStr">
        <is>
          <t>PHY</t>
        </is>
      </c>
      <c r="K9" s="35" t="inlineStr">
        <is>
          <t>Elem. Particle Physics/Theory</t>
        </is>
      </c>
      <c r="L9" s="35" t="inlineStr">
        <is>
          <t>Theoretical Physics From Quantum Fields to the Cosmos</t>
        </is>
      </c>
      <c r="M9" s="32" t="inlineStr">
        <is>
          <t>09/01/2024</t>
        </is>
      </c>
      <c r="N9" s="32" t="inlineStr">
        <is>
          <t>08/31/2027</t>
        </is>
      </c>
    </row>
    <row r="10" ht="35" customHeight="1">
      <c r="A10" s="28" t="n">
        <v>9</v>
      </c>
      <c r="B10" s="28" t="inlineStr">
        <is>
          <t>2412449</t>
        </is>
      </c>
      <c r="C10" s="28" t="inlineStr">
        <is>
          <t>2024</t>
        </is>
      </c>
      <c r="D10" s="29" t="inlineStr">
        <is>
          <t>Continuing Grant</t>
        </is>
      </c>
      <c r="E10" s="30" t="n">
        <v>1068457</v>
      </c>
      <c r="F10" s="30" t="n">
        <v>1068457</v>
      </c>
      <c r="G10" s="28" t="inlineStr">
        <is>
          <t>Mihaela</t>
        </is>
      </c>
      <c r="H10" s="28" t="inlineStr">
        <is>
          <t>Pertea</t>
        </is>
      </c>
      <c r="I10" s="28" t="inlineStr">
        <is>
          <t>BIO</t>
        </is>
      </c>
      <c r="J10" s="28" t="inlineStr">
        <is>
          <t>DBI</t>
        </is>
      </c>
      <c r="K10" s="31" t="inlineStr">
        <is>
          <t>Cross-BIO Activities, Innovation: Bioinformatics</t>
        </is>
      </c>
      <c r="L10" s="31" t="inlineStr">
        <is>
          <t>Computational methods for large scale transcriptome profiling</t>
        </is>
      </c>
      <c r="M10" s="28" t="inlineStr">
        <is>
          <t>08/01/2024</t>
        </is>
      </c>
      <c r="N10" s="28" t="inlineStr">
        <is>
          <t>07/31/2027</t>
        </is>
      </c>
    </row>
    <row r="11" ht="35" customHeight="1">
      <c r="A11" s="32" t="n">
        <v>10</v>
      </c>
      <c r="B11" s="32" t="inlineStr">
        <is>
          <t>2431810</t>
        </is>
      </c>
      <c r="C11" s="32" t="inlineStr">
        <is>
          <t>2024</t>
        </is>
      </c>
      <c r="D11" s="33" t="inlineStr">
        <is>
          <t>Standard Grant</t>
        </is>
      </c>
      <c r="E11" s="34" t="n">
        <v>1000000</v>
      </c>
      <c r="F11" s="34" t="n">
        <v>1000000</v>
      </c>
      <c r="G11" s="32" t="inlineStr">
        <is>
          <t>Muyinatu</t>
        </is>
      </c>
      <c r="H11" s="32" t="inlineStr">
        <is>
          <t>Bell</t>
        </is>
      </c>
      <c r="I11" s="32" t="inlineStr">
        <is>
          <t>CSE</t>
        </is>
      </c>
      <c r="J11" s="32" t="inlineStr">
        <is>
          <t>IIS</t>
        </is>
      </c>
      <c r="K11" s="35" t="inlineStr">
        <is>
          <t>ATW-Alan T Waterman Award</t>
        </is>
      </c>
      <c r="L11" s="35" t="inlineStr">
        <is>
          <t>2024 Alan T. Waterman Award</t>
        </is>
      </c>
      <c r="M11" s="32" t="inlineStr">
        <is>
          <t>07/01/2024</t>
        </is>
      </c>
      <c r="N11" s="32" t="inlineStr">
        <is>
          <t>06/30/2029</t>
        </is>
      </c>
    </row>
    <row r="12" ht="35" customHeight="1">
      <c r="A12" s="28" t="n">
        <v>11</v>
      </c>
      <c r="B12" s="28" t="inlineStr">
        <is>
          <t>2502377</t>
        </is>
      </c>
      <c r="C12" s="28" t="inlineStr">
        <is>
          <t>2025</t>
        </is>
      </c>
      <c r="D12" s="29" t="inlineStr">
        <is>
          <t>Standard Grant</t>
        </is>
      </c>
      <c r="E12" s="30" t="n">
        <v>1000000</v>
      </c>
      <c r="F12" s="30" t="n">
        <v>1000000</v>
      </c>
      <c r="G12" s="28" t="inlineStr">
        <is>
          <t>Mateo</t>
        </is>
      </c>
      <c r="H12" s="28" t="inlineStr">
        <is>
          <t>Diaz Diaz</t>
        </is>
      </c>
      <c r="I12" s="28" t="inlineStr">
        <is>
          <t>MPS</t>
        </is>
      </c>
      <c r="J12" s="28" t="inlineStr">
        <is>
          <t>DMS</t>
        </is>
      </c>
      <c r="K12" s="31" t="inlineStr">
        <is>
          <t>IIS Special Projects, Special Projects - CCF, MSPA-INTERDISCIPLINARY</t>
        </is>
      </c>
      <c r="L12" s="31" t="inlineStr">
        <is>
          <t>MFAI: Any-Dimensional Equivariant Learning</t>
        </is>
      </c>
      <c r="M12" s="28" t="inlineStr">
        <is>
          <t>08/01/2025</t>
        </is>
      </c>
      <c r="N12" s="28" t="inlineStr">
        <is>
          <t>07/31/2028</t>
        </is>
      </c>
    </row>
    <row r="13" ht="35" customHeight="1">
      <c r="A13" s="32" t="n">
        <v>12</v>
      </c>
      <c r="B13" s="32" t="inlineStr">
        <is>
          <t>2501395</t>
        </is>
      </c>
      <c r="C13" s="32" t="inlineStr">
        <is>
          <t>2025</t>
        </is>
      </c>
      <c r="D13" s="33" t="inlineStr">
        <is>
          <t>Standard Grant</t>
        </is>
      </c>
      <c r="E13" s="34" t="n">
        <v>999993</v>
      </c>
      <c r="F13" s="34" t="n">
        <v>999993</v>
      </c>
      <c r="G13" s="32" t="inlineStr">
        <is>
          <t>Jungsan</t>
        </is>
      </c>
      <c r="H13" s="32" t="inlineStr">
        <is>
          <t>Sohn</t>
        </is>
      </c>
      <c r="I13" s="32" t="inlineStr">
        <is>
          <t>BIO</t>
        </is>
      </c>
      <c r="J13" s="32" t="inlineStr">
        <is>
          <t>MCB</t>
        </is>
      </c>
      <c r="K13" s="35" t="inlineStr">
        <is>
          <t>Molecular Biophysics</t>
        </is>
      </c>
      <c r="L13" s="35" t="inlineStr">
        <is>
          <t>Assembly and Regulation Mechanisms of Filamentous Signaling Platforms</t>
        </is>
      </c>
      <c r="M13" s="32" t="inlineStr">
        <is>
          <t>08/01/2025</t>
        </is>
      </c>
      <c r="N13" s="32" t="inlineStr">
        <is>
          <t>07/31/2029</t>
        </is>
      </c>
    </row>
    <row r="14" ht="35" customHeight="1">
      <c r="A14" s="28" t="n">
        <v>13</v>
      </c>
      <c r="B14" s="28" t="inlineStr">
        <is>
          <t>2436738</t>
        </is>
      </c>
      <c r="C14" s="28" t="inlineStr">
        <is>
          <t>2024</t>
        </is>
      </c>
      <c r="D14" s="29" t="inlineStr">
        <is>
          <t>Standard Grant</t>
        </is>
      </c>
      <c r="E14" s="30" t="n">
        <v>997770</v>
      </c>
      <c r="F14" s="30" t="n">
        <v>997770</v>
      </c>
      <c r="G14" s="28" t="inlineStr">
        <is>
          <t>Mauro</t>
        </is>
      </c>
      <c r="H14" s="28" t="inlineStr">
        <is>
          <t>Maggioni</t>
        </is>
      </c>
      <c r="I14" s="28" t="inlineStr">
        <is>
          <t>MPS</t>
        </is>
      </c>
      <c r="J14" s="28" t="inlineStr">
        <is>
          <t>DMS</t>
        </is>
      </c>
      <c r="K14" s="31" t="inlineStr">
        <is>
          <t>OFFICE OF MULTIDISCIPLINARY AC, MSPA-INTERDISCIPLINARY</t>
        </is>
      </c>
      <c r="L14" s="31" t="inlineStr">
        <is>
          <t>FDT-BioTech:CARDIT: Cardiac Digital Twins; but better!</t>
        </is>
      </c>
      <c r="M14" s="28" t="inlineStr">
        <is>
          <t>11/01/2024</t>
        </is>
      </c>
      <c r="N14" s="28" t="inlineStr">
        <is>
          <t>10/31/2027</t>
        </is>
      </c>
    </row>
    <row r="15" ht="35" customHeight="1">
      <c r="A15" s="32" t="n">
        <v>14</v>
      </c>
      <c r="B15" s="32" t="inlineStr">
        <is>
          <t>2451634</t>
        </is>
      </c>
      <c r="C15" s="32" t="inlineStr">
        <is>
          <t>2025</t>
        </is>
      </c>
      <c r="D15" s="33" t="inlineStr">
        <is>
          <t>Standard Grant</t>
        </is>
      </c>
      <c r="E15" s="34" t="n">
        <v>987578</v>
      </c>
      <c r="F15" s="34" t="n">
        <v>987578</v>
      </c>
      <c r="G15" s="32" t="inlineStr">
        <is>
          <t>Kalina</t>
        </is>
      </c>
      <c r="H15" s="32" t="inlineStr">
        <is>
          <t>Hristova</t>
        </is>
      </c>
      <c r="I15" s="32" t="inlineStr">
        <is>
          <t>BIO</t>
        </is>
      </c>
      <c r="J15" s="32" t="inlineStr">
        <is>
          <t>MCB</t>
        </is>
      </c>
      <c r="K15" s="35" t="inlineStr">
        <is>
          <t>Molecular Biophysics</t>
        </is>
      </c>
      <c r="L15" s="35" t="inlineStr">
        <is>
          <t>ASSEMBLY-FUNCTION RELATIONS IN SIGNAL TRANSDUCTION ACROSS THE PLASMA MEMBRANE</t>
        </is>
      </c>
      <c r="M15" s="32" t="inlineStr">
        <is>
          <t>07/01/2025</t>
        </is>
      </c>
      <c r="N15" s="32" t="inlineStr">
        <is>
          <t>06/30/2028</t>
        </is>
      </c>
    </row>
    <row r="16" ht="35" customHeight="1">
      <c r="A16" s="28" t="n">
        <v>15</v>
      </c>
      <c r="B16" s="28" t="inlineStr">
        <is>
          <t>2524223</t>
        </is>
      </c>
      <c r="C16" s="28" t="inlineStr">
        <is>
          <t>2025</t>
        </is>
      </c>
      <c r="D16" s="29" t="inlineStr">
        <is>
          <t>Standard Grant</t>
        </is>
      </c>
      <c r="E16" s="30" t="n">
        <v>900000</v>
      </c>
      <c r="F16" s="30" t="n">
        <v>900000</v>
      </c>
      <c r="G16" s="28" t="inlineStr">
        <is>
          <t>Erik</t>
        </is>
      </c>
      <c r="H16" s="28" t="inlineStr">
        <is>
          <t>Andersen</t>
        </is>
      </c>
      <c r="I16" s="28" t="inlineStr">
        <is>
          <t>BIO</t>
        </is>
      </c>
      <c r="J16" s="28" t="inlineStr">
        <is>
          <t>IOS</t>
        </is>
      </c>
      <c r="K16" s="31" t="inlineStr">
        <is>
          <t>EDGE Research</t>
        </is>
      </c>
      <c r="L16" s="31" t="inlineStr">
        <is>
          <t>EDGE CMT: Defining the mechanistic roles of hyper-divergent regions in gene-by-environment interactions</t>
        </is>
      </c>
      <c r="M16" s="28" t="inlineStr">
        <is>
          <t>09/01/2025</t>
        </is>
      </c>
      <c r="N16" s="28" t="inlineStr">
        <is>
          <t>08/31/2028</t>
        </is>
      </c>
    </row>
    <row r="17" ht="35" customHeight="1">
      <c r="A17" s="32" t="n">
        <v>16</v>
      </c>
      <c r="B17" s="32" t="inlineStr">
        <is>
          <t>2504115</t>
        </is>
      </c>
      <c r="C17" s="32" t="inlineStr">
        <is>
          <t>2025</t>
        </is>
      </c>
      <c r="D17" s="33" t="inlineStr">
        <is>
          <t>Standard Grant</t>
        </is>
      </c>
      <c r="E17" s="34" t="n">
        <v>875379</v>
      </c>
      <c r="F17" s="34" t="n">
        <v>875379</v>
      </c>
      <c r="G17" s="32" t="inlineStr">
        <is>
          <t>Liliana</t>
        </is>
      </c>
      <c r="H17" s="32" t="inlineStr">
        <is>
          <t>Florea</t>
        </is>
      </c>
      <c r="I17" s="32" t="inlineStr">
        <is>
          <t>BIO</t>
        </is>
      </c>
      <c r="J17" s="32" t="inlineStr">
        <is>
          <t>DBI</t>
        </is>
      </c>
      <c r="K17" s="35" t="inlineStr">
        <is>
          <t>Innovation: Bioinformatics</t>
        </is>
      </c>
      <c r="L17" s="35" t="inlineStr">
        <is>
          <t>Characterizing transposable element contributions to the transcriptome with evidence-based and inferential methods</t>
        </is>
      </c>
      <c r="M17" s="32" t="inlineStr">
        <is>
          <t>08/01/2025</t>
        </is>
      </c>
      <c r="N17" s="32" t="inlineStr">
        <is>
          <t>07/31/2028</t>
        </is>
      </c>
    </row>
    <row r="18" ht="35" customHeight="1">
      <c r="A18" s="28" t="n">
        <v>17</v>
      </c>
      <c r="B18" s="28" t="inlineStr">
        <is>
          <t>2519259</t>
        </is>
      </c>
      <c r="C18" s="28" t="inlineStr">
        <is>
          <t>2025</t>
        </is>
      </c>
      <c r="D18" s="29" t="inlineStr">
        <is>
          <t>Standard Grant</t>
        </is>
      </c>
      <c r="E18" s="30" t="n">
        <v>856135</v>
      </c>
      <c r="F18" s="30" t="n">
        <v>856135</v>
      </c>
      <c r="G18" s="28" t="inlineStr">
        <is>
          <t>Sergi</t>
        </is>
      </c>
      <c r="H18" s="28" t="inlineStr">
        <is>
          <t>Regot</t>
        </is>
      </c>
      <c r="I18" s="28" t="inlineStr">
        <is>
          <t>BIO</t>
        </is>
      </c>
      <c r="J18" s="28" t="inlineStr">
        <is>
          <t>MCB</t>
        </is>
      </c>
      <c r="K18" s="31" t="inlineStr">
        <is>
          <t>Cellular Dynamics and Function</t>
        </is>
      </c>
      <c r="L18" s="31" t="inlineStr">
        <is>
          <t>Advancing Single Molecule Methods to Understand Translation Regulation in Live Cells</t>
        </is>
      </c>
      <c r="M18" s="28" t="inlineStr">
        <is>
          <t>09/01/2025</t>
        </is>
      </c>
      <c r="N18" s="28" t="inlineStr">
        <is>
          <t>08/31/2029</t>
        </is>
      </c>
    </row>
    <row r="19" ht="35" customHeight="1">
      <c r="A19" s="32" t="n">
        <v>18</v>
      </c>
      <c r="B19" s="32" t="inlineStr">
        <is>
          <t>2340338</t>
        </is>
      </c>
      <c r="C19" s="32" t="inlineStr">
        <is>
          <t>2024</t>
        </is>
      </c>
      <c r="D19" s="33" t="inlineStr">
        <is>
          <t>Continuing Grant</t>
        </is>
      </c>
      <c r="E19" s="34" t="n">
        <v>718681</v>
      </c>
      <c r="F19" s="34" t="n">
        <v>718681</v>
      </c>
      <c r="G19" s="32" t="inlineStr">
        <is>
          <t>Adam</t>
        </is>
      </c>
      <c r="H19" s="32" t="inlineStr">
        <is>
          <t>Charles</t>
        </is>
      </c>
      <c r="I19" s="32" t="inlineStr">
        <is>
          <t>CSE</t>
        </is>
      </c>
      <c r="J19" s="32" t="inlineStr">
        <is>
          <t>IIS</t>
        </is>
      </c>
      <c r="K19" s="35" t="inlineStr">
        <is>
          <t>Robust Intelligence</t>
        </is>
      </c>
      <c r="L19" s="35" t="inlineStr">
        <is>
          <t>CAREER: RI: Uncovering principles of robust intelligence by disentangling the functional architecture of the brain</t>
        </is>
      </c>
      <c r="M19" s="32" t="inlineStr">
        <is>
          <t>10/01/2024</t>
        </is>
      </c>
      <c r="N19" s="32" t="inlineStr">
        <is>
          <t>09/30/2029</t>
        </is>
      </c>
    </row>
    <row r="20" ht="35" customHeight="1">
      <c r="A20" s="28" t="n">
        <v>19</v>
      </c>
      <c r="B20" s="28" t="inlineStr">
        <is>
          <t>2403939</t>
        </is>
      </c>
      <c r="C20" s="28" t="inlineStr">
        <is>
          <t>2024</t>
        </is>
      </c>
      <c r="D20" s="29" t="inlineStr">
        <is>
          <t>Continuing Grant</t>
        </is>
      </c>
      <c r="E20" s="30" t="n">
        <v>673286</v>
      </c>
      <c r="F20" s="30" t="n">
        <v>1107716</v>
      </c>
      <c r="G20" s="28" t="inlineStr">
        <is>
          <t>Rafael Luiz</t>
        </is>
      </c>
      <c r="H20" s="28" t="inlineStr">
        <is>
          <t>Araujo de Mesquita</t>
        </is>
      </c>
      <c r="I20" s="28" t="inlineStr">
        <is>
          <t>GEO</t>
        </is>
      </c>
      <c r="J20" s="28" t="inlineStr">
        <is>
          <t>AGS</t>
        </is>
      </c>
      <c r="K20" s="31" t="inlineStr">
        <is>
          <t>Upper Atmospheric Facilities</t>
        </is>
      </c>
      <c r="L20" s="31" t="inlineStr">
        <is>
          <t>Research Infrastructure: SuperMAG--New Science Capabilities and Continued Operation</t>
        </is>
      </c>
      <c r="M20" s="28" t="inlineStr">
        <is>
          <t>07/01/2024</t>
        </is>
      </c>
      <c r="N20" s="28" t="inlineStr">
        <is>
          <t>06/30/2029</t>
        </is>
      </c>
    </row>
    <row r="21" ht="35" customHeight="1">
      <c r="A21" s="32" t="n">
        <v>20</v>
      </c>
      <c r="B21" s="32" t="inlineStr">
        <is>
          <t>2532514</t>
        </is>
      </c>
      <c r="C21" s="32" t="inlineStr">
        <is>
          <t>2025</t>
        </is>
      </c>
      <c r="D21" s="33" t="inlineStr">
        <is>
          <t>Standard Grant</t>
        </is>
      </c>
      <c r="E21" s="34" t="n">
        <v>652299</v>
      </c>
      <c r="F21" s="34" t="n">
        <v>652299</v>
      </c>
      <c r="G21" s="32" t="inlineStr">
        <is>
          <t>Sara</t>
        </is>
      </c>
      <c r="H21" s="32" t="inlineStr">
        <is>
          <t>Thoi</t>
        </is>
      </c>
      <c r="I21" s="32" t="inlineStr">
        <is>
          <t>MPS</t>
        </is>
      </c>
      <c r="J21" s="32" t="inlineStr">
        <is>
          <t>DMR</t>
        </is>
      </c>
      <c r="K21" s="35" t="inlineStr">
        <is>
          <t>SOLID STATE &amp; MATERIALS CHEMIS</t>
        </is>
      </c>
      <c r="L21" s="35" t="inlineStr">
        <is>
          <t>Metal Ion Transport in Microporous Metal-Organic Frameworks for Energy Storage Applications</t>
        </is>
      </c>
      <c r="M21" s="32" t="inlineStr">
        <is>
          <t>09/01/2025</t>
        </is>
      </c>
      <c r="N21" s="32" t="inlineStr">
        <is>
          <t>08/31/2028</t>
        </is>
      </c>
    </row>
    <row r="22" ht="35" customHeight="1">
      <c r="A22" s="28" t="n">
        <v>21</v>
      </c>
      <c r="B22" s="28" t="inlineStr">
        <is>
          <t>2404257</t>
        </is>
      </c>
      <c r="C22" s="28" t="inlineStr">
        <is>
          <t>2024</t>
        </is>
      </c>
      <c r="D22" s="29" t="inlineStr">
        <is>
          <t>Standard Grant</t>
        </is>
      </c>
      <c r="E22" s="30" t="n">
        <v>645000</v>
      </c>
      <c r="F22" s="30" t="n">
        <v>645000</v>
      </c>
      <c r="G22" s="28" t="inlineStr">
        <is>
          <t>Honggang</t>
        </is>
      </c>
      <c r="H22" s="28" t="inlineStr">
        <is>
          <t>Cui</t>
        </is>
      </c>
      <c r="I22" s="28" t="inlineStr">
        <is>
          <t>MPS</t>
        </is>
      </c>
      <c r="J22" s="28" t="inlineStr">
        <is>
          <t>CHE</t>
        </is>
      </c>
      <c r="K22" s="31" t="inlineStr">
        <is>
          <t>Macromolec/Supramolec/Nano</t>
        </is>
      </c>
      <c r="L22" s="31" t="inlineStr">
        <is>
          <t>Entropically Constrained Self-Limiting Supramolecular Polymerization</t>
        </is>
      </c>
      <c r="M22" s="28" t="inlineStr">
        <is>
          <t>07/01/2024</t>
        </is>
      </c>
      <c r="N22" s="28" t="inlineStr">
        <is>
          <t>06/30/2027</t>
        </is>
      </c>
    </row>
    <row r="23" ht="35" customHeight="1">
      <c r="A23" s="32" t="n">
        <v>22</v>
      </c>
      <c r="B23" s="32" t="inlineStr">
        <is>
          <t>2414603</t>
        </is>
      </c>
      <c r="C23" s="32" t="inlineStr">
        <is>
          <t>2024</t>
        </is>
      </c>
      <c r="D23" s="33" t="inlineStr">
        <is>
          <t>Continuing Grant</t>
        </is>
      </c>
      <c r="E23" s="34" t="n">
        <v>630000</v>
      </c>
      <c r="F23" s="34" t="n">
        <v>700000</v>
      </c>
      <c r="G23" s="32" t="inlineStr">
        <is>
          <t>Deliang</t>
        </is>
      </c>
      <c r="H23" s="32" t="inlineStr">
        <is>
          <t>Fan</t>
        </is>
      </c>
      <c r="I23" s="32" t="inlineStr">
        <is>
          <t>CSE</t>
        </is>
      </c>
      <c r="J23" s="32" t="inlineStr">
        <is>
          <t>CCF</t>
        </is>
      </c>
      <c r="K23" s="35" t="inlineStr">
        <is>
          <t>FuSe-Future of Semiconductors, NSF-Intel Semiconductr Partnrs, NSF-Samsung Partnership</t>
        </is>
      </c>
      <c r="L23" s="35" t="inlineStr">
        <is>
          <t>Collaborative Research: FuSe: Efficient Situation-Aware AI Processing in Advanced 2-Terminal SOT-MRAM</t>
        </is>
      </c>
      <c r="M23" s="32" t="inlineStr">
        <is>
          <t>10/01/2023</t>
        </is>
      </c>
      <c r="N23" s="32" t="inlineStr">
        <is>
          <t>12/31/2024</t>
        </is>
      </c>
    </row>
    <row r="24" ht="35" customHeight="1">
      <c r="A24" s="28" t="n">
        <v>23</v>
      </c>
      <c r="B24" s="28" t="inlineStr">
        <is>
          <t>2506068</t>
        </is>
      </c>
      <c r="C24" s="28" t="inlineStr">
        <is>
          <t>2025</t>
        </is>
      </c>
      <c r="D24" s="29" t="inlineStr">
        <is>
          <t>Standard Grant</t>
        </is>
      </c>
      <c r="E24" s="30" t="n">
        <v>620000</v>
      </c>
      <c r="F24" s="30" t="n">
        <v>620000</v>
      </c>
      <c r="G24" s="28" t="inlineStr">
        <is>
          <t>Howard</t>
        </is>
      </c>
      <c r="H24" s="28" t="inlineStr">
        <is>
          <t>Fairbrother</t>
        </is>
      </c>
      <c r="I24" s="28" t="inlineStr">
        <is>
          <t>MPS</t>
        </is>
      </c>
      <c r="J24" s="28" t="inlineStr">
        <is>
          <t>CHE</t>
        </is>
      </c>
      <c r="K24" s="31" t="inlineStr">
        <is>
          <t>Environmental Chemical Science</t>
        </is>
      </c>
      <c r="L24" s="31" t="inlineStr">
        <is>
          <t>CAS-MNP: Impact of Disinfectants on Release and Transformation of Microplastics and Additives from Drinking Water Pipes</t>
        </is>
      </c>
      <c r="M24" s="28" t="inlineStr">
        <is>
          <t>06/15/2025</t>
        </is>
      </c>
      <c r="N24" s="28" t="inlineStr">
        <is>
          <t>05/31/2028</t>
        </is>
      </c>
    </row>
    <row r="25" ht="35" customHeight="1">
      <c r="A25" s="32" t="n">
        <v>24</v>
      </c>
      <c r="B25" s="32" t="inlineStr">
        <is>
          <t>2412916</t>
        </is>
      </c>
      <c r="C25" s="32" t="inlineStr">
        <is>
          <t>2024</t>
        </is>
      </c>
      <c r="D25" s="33" t="inlineStr">
        <is>
          <t>Continuing Grant</t>
        </is>
      </c>
      <c r="E25" s="34" t="n">
        <v>613800</v>
      </c>
      <c r="F25" s="34" t="n">
        <v>1200000</v>
      </c>
      <c r="G25" s="32" t="inlineStr">
        <is>
          <t>Jie</t>
        </is>
      </c>
      <c r="H25" s="32" t="inlineStr">
        <is>
          <t>Xiao</t>
        </is>
      </c>
      <c r="I25" s="32" t="inlineStr">
        <is>
          <t>BIO</t>
        </is>
      </c>
      <c r="J25" s="32" t="inlineStr">
        <is>
          <t>MCB</t>
        </is>
      </c>
      <c r="K25" s="35" t="inlineStr">
        <is>
          <t>Genetic Mechanisms, PHYSICS OF LIVING SYSTEMS, Cross-BIO Activities</t>
        </is>
      </c>
      <c r="L25" s="35" t="inlineStr">
        <is>
          <t>NSF-ANR MCB/PHY SuperTrxn In vitro, in vivo, and in silico investigations of supercoil-mediated transcription regulation in bacteria</t>
        </is>
      </c>
      <c r="M25" s="32" t="inlineStr">
        <is>
          <t>01/01/2025</t>
        </is>
      </c>
      <c r="N25" s="32" t="inlineStr">
        <is>
          <t>12/31/2028</t>
        </is>
      </c>
    </row>
    <row r="26" ht="35" customHeight="1">
      <c r="A26" s="28" t="n">
        <v>25</v>
      </c>
      <c r="B26" s="28" t="inlineStr">
        <is>
          <t>2335761</t>
        </is>
      </c>
      <c r="C26" s="28" t="inlineStr">
        <is>
          <t>2024</t>
        </is>
      </c>
      <c r="D26" s="29" t="inlineStr">
        <is>
          <t>Standard Grant</t>
        </is>
      </c>
      <c r="E26" s="30" t="n">
        <v>601138</v>
      </c>
      <c r="F26" s="30" t="n">
        <v>601138</v>
      </c>
      <c r="G26" s="28" t="inlineStr">
        <is>
          <t>Darryn</t>
        </is>
      </c>
      <c r="H26" s="28" t="inlineStr">
        <is>
          <t>Waugh</t>
        </is>
      </c>
      <c r="I26" s="28" t="inlineStr">
        <is>
          <t>GEO</t>
        </is>
      </c>
      <c r="J26" s="28" t="inlineStr">
        <is>
          <t>AGS</t>
        </is>
      </c>
      <c r="K26" s="31" t="inlineStr">
        <is>
          <t>Climate &amp; Large-Scale Dynamics</t>
        </is>
      </c>
      <c r="L26" s="31" t="inlineStr">
        <is>
          <t>Collaborative Research: Non-Linearity and Feedbacks in the Atmospheric Circulation Response to Increased Carbon Dioxide (CO2)</t>
        </is>
      </c>
      <c r="M26" s="28" t="inlineStr">
        <is>
          <t>06/01/2024</t>
        </is>
      </c>
      <c r="N26" s="28" t="inlineStr">
        <is>
          <t>05/31/2027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2026-04-02T10:08:49Z</dcterms:created>
  <dcterms:modified xsi:type="dcterms:W3CDTF">2026-04-02T10:08:50Z</dcterms:modified>
</cp:coreProperties>
</file>